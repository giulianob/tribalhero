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urce\gameassets\Documents\"/>
    </mc:Choice>
  </mc:AlternateContent>
  <bookViews>
    <workbookView xWindow="-15" yWindow="-15" windowWidth="4005" windowHeight="5640" tabRatio="550" activeTab="2"/>
  </bookViews>
  <sheets>
    <sheet name="Cost And Time" sheetId="1" r:id="rId1"/>
    <sheet name="Stats" sheetId="2" r:id="rId2"/>
    <sheet name="Full" sheetId="3" r:id="rId3"/>
    <sheet name="Sheet1" sheetId="4" r:id="rId4"/>
  </sheets>
  <functionGroups builtInGroupCount="18"/>
  <definedNames>
    <definedName name="BuildingType">Stats!$D$26:$M$31</definedName>
  </definedNames>
  <calcPr calcId="152511"/>
</workbook>
</file>

<file path=xl/calcChain.xml><?xml version="1.0" encoding="utf-8"?>
<calcChain xmlns="http://schemas.openxmlformats.org/spreadsheetml/2006/main">
  <c r="G372" i="3" l="1"/>
  <c r="F495" i="3" l="1"/>
  <c r="F496" i="3"/>
  <c r="F497" i="3"/>
  <c r="F498" i="3"/>
  <c r="F499" i="3" s="1"/>
  <c r="F500" i="3" s="1"/>
  <c r="F501" i="3" s="1"/>
  <c r="F502" i="3" s="1"/>
  <c r="F503" i="3" s="1"/>
  <c r="F504" i="3" s="1"/>
  <c r="F505" i="3" s="1"/>
  <c r="F506" i="3" s="1"/>
  <c r="F507" i="3" s="1"/>
  <c r="F508" i="3" s="1"/>
  <c r="F509" i="3" s="1"/>
  <c r="F510" i="3" s="1"/>
  <c r="F511" i="3" s="1"/>
  <c r="F512" i="3" s="1"/>
  <c r="F494" i="3"/>
  <c r="L31" i="3" l="1"/>
  <c r="L34" i="3"/>
  <c r="L32" i="3"/>
  <c r="L33" i="3"/>
  <c r="L35" i="3"/>
  <c r="M35" i="3" l="1"/>
  <c r="N35" i="3"/>
  <c r="O35" i="3" s="1"/>
  <c r="N33" i="3"/>
  <c r="O33" i="3" s="1"/>
  <c r="M33" i="3"/>
  <c r="N32" i="3"/>
  <c r="O32" i="3" s="1"/>
  <c r="M32" i="3"/>
  <c r="N34" i="3"/>
  <c r="O34" i="3" s="1"/>
  <c r="M34" i="3"/>
  <c r="N31" i="3"/>
  <c r="O31" i="3" s="1"/>
  <c r="M31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75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58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G455" i="3"/>
  <c r="G452" i="3"/>
  <c r="G449" i="3"/>
  <c r="G446" i="3"/>
  <c r="G444" i="3"/>
  <c r="G442" i="3"/>
  <c r="G440" i="3"/>
  <c r="K429" i="3"/>
  <c r="L429" i="3"/>
  <c r="K430" i="3"/>
  <c r="L430" i="3"/>
  <c r="K431" i="3"/>
  <c r="L431" i="3"/>
  <c r="K432" i="3"/>
  <c r="L432" i="3"/>
  <c r="K433" i="3"/>
  <c r="L433" i="3"/>
  <c r="K434" i="3"/>
  <c r="L434" i="3"/>
  <c r="K435" i="3"/>
  <c r="L435" i="3"/>
  <c r="K436" i="3"/>
  <c r="L436" i="3"/>
  <c r="K437" i="3"/>
  <c r="L437" i="3"/>
  <c r="K404" i="3"/>
  <c r="L404" i="3"/>
  <c r="K405" i="3"/>
  <c r="L405" i="3"/>
  <c r="K406" i="3"/>
  <c r="L406" i="3"/>
  <c r="K407" i="3"/>
  <c r="L407" i="3"/>
  <c r="K408" i="3"/>
  <c r="L408" i="3"/>
  <c r="K409" i="3"/>
  <c r="L409" i="3"/>
  <c r="K410" i="3"/>
  <c r="L410" i="3"/>
  <c r="K411" i="3"/>
  <c r="L411" i="3"/>
  <c r="K412" i="3"/>
  <c r="L412" i="3"/>
  <c r="K413" i="3"/>
  <c r="L413" i="3"/>
  <c r="K414" i="3"/>
  <c r="L414" i="3"/>
  <c r="K415" i="3"/>
  <c r="L415" i="3"/>
  <c r="K416" i="3"/>
  <c r="L416" i="3"/>
  <c r="K417" i="3"/>
  <c r="L417" i="3"/>
  <c r="K384" i="3"/>
  <c r="K385" i="3"/>
  <c r="K386" i="3"/>
  <c r="K387" i="3"/>
  <c r="K388" i="3"/>
  <c r="K389" i="3"/>
  <c r="K390" i="3"/>
  <c r="K391" i="3"/>
  <c r="K392" i="3"/>
  <c r="K364" i="3"/>
  <c r="L364" i="3"/>
  <c r="K365" i="3"/>
  <c r="L365" i="3"/>
  <c r="K366" i="3"/>
  <c r="L366" i="3"/>
  <c r="K367" i="3"/>
  <c r="L367" i="3"/>
  <c r="K368" i="3"/>
  <c r="L368" i="3"/>
  <c r="K369" i="3"/>
  <c r="L369" i="3"/>
  <c r="K370" i="3"/>
  <c r="L370" i="3"/>
  <c r="K371" i="3"/>
  <c r="L371" i="3"/>
  <c r="K372" i="3"/>
  <c r="L372" i="3"/>
  <c r="K344" i="3"/>
  <c r="L344" i="3"/>
  <c r="K345" i="3"/>
  <c r="L345" i="3"/>
  <c r="K346" i="3"/>
  <c r="L346" i="3"/>
  <c r="K347" i="3"/>
  <c r="L347" i="3"/>
  <c r="K348" i="3"/>
  <c r="L348" i="3"/>
  <c r="K349" i="3"/>
  <c r="L349" i="3"/>
  <c r="K350" i="3"/>
  <c r="L350" i="3"/>
  <c r="K351" i="3"/>
  <c r="L351" i="3"/>
  <c r="K352" i="3"/>
  <c r="L352" i="3"/>
  <c r="K324" i="3"/>
  <c r="L324" i="3"/>
  <c r="K325" i="3"/>
  <c r="L325" i="3"/>
  <c r="K326" i="3"/>
  <c r="L326" i="3"/>
  <c r="K327" i="3"/>
  <c r="L327" i="3"/>
  <c r="K328" i="3"/>
  <c r="L328" i="3"/>
  <c r="K329" i="3"/>
  <c r="L329" i="3"/>
  <c r="K330" i="3"/>
  <c r="L330" i="3"/>
  <c r="K331" i="3"/>
  <c r="L331" i="3"/>
  <c r="K332" i="3"/>
  <c r="L332" i="3"/>
  <c r="K299" i="3"/>
  <c r="L299" i="3"/>
  <c r="K300" i="3"/>
  <c r="L300" i="3"/>
  <c r="K301" i="3"/>
  <c r="L301" i="3"/>
  <c r="K302" i="3"/>
  <c r="L302" i="3"/>
  <c r="K303" i="3"/>
  <c r="L303" i="3"/>
  <c r="K304" i="3"/>
  <c r="L304" i="3"/>
  <c r="K305" i="3"/>
  <c r="L305" i="3"/>
  <c r="K306" i="3"/>
  <c r="L306" i="3"/>
  <c r="K307" i="3"/>
  <c r="L307" i="3"/>
  <c r="K308" i="3"/>
  <c r="L308" i="3"/>
  <c r="K309" i="3"/>
  <c r="L309" i="3"/>
  <c r="K310" i="3"/>
  <c r="L310" i="3"/>
  <c r="K311" i="3"/>
  <c r="L311" i="3"/>
  <c r="K312" i="3"/>
  <c r="L312" i="3"/>
  <c r="K273" i="3"/>
  <c r="L273" i="3"/>
  <c r="K274" i="3"/>
  <c r="L274" i="3"/>
  <c r="K275" i="3"/>
  <c r="L275" i="3"/>
  <c r="K276" i="3"/>
  <c r="L276" i="3"/>
  <c r="K277" i="3"/>
  <c r="L277" i="3"/>
  <c r="K278" i="3"/>
  <c r="L278" i="3"/>
  <c r="K279" i="3"/>
  <c r="L279" i="3"/>
  <c r="K280" i="3"/>
  <c r="L280" i="3"/>
  <c r="K281" i="3"/>
  <c r="L281" i="3"/>
  <c r="K282" i="3"/>
  <c r="L282" i="3"/>
  <c r="K283" i="3"/>
  <c r="L283" i="3"/>
  <c r="K284" i="3"/>
  <c r="L284" i="3"/>
  <c r="K285" i="3"/>
  <c r="L285" i="3"/>
  <c r="K286" i="3"/>
  <c r="L286" i="3"/>
  <c r="K247" i="3"/>
  <c r="L247" i="3"/>
  <c r="K248" i="3"/>
  <c r="L248" i="3"/>
  <c r="K249" i="3"/>
  <c r="L249" i="3"/>
  <c r="K250" i="3"/>
  <c r="L250" i="3"/>
  <c r="K251" i="3"/>
  <c r="L251" i="3"/>
  <c r="K252" i="3"/>
  <c r="L252" i="3"/>
  <c r="K253" i="3"/>
  <c r="L253" i="3"/>
  <c r="K254" i="3"/>
  <c r="L254" i="3"/>
  <c r="K255" i="3"/>
  <c r="L255" i="3"/>
  <c r="K256" i="3"/>
  <c r="L256" i="3"/>
  <c r="K257" i="3"/>
  <c r="L257" i="3"/>
  <c r="K258" i="3"/>
  <c r="L258" i="3"/>
  <c r="K259" i="3"/>
  <c r="L259" i="3"/>
  <c r="K260" i="3"/>
  <c r="L260" i="3"/>
  <c r="K221" i="3"/>
  <c r="L221" i="3"/>
  <c r="K222" i="3"/>
  <c r="L222" i="3"/>
  <c r="K223" i="3"/>
  <c r="L223" i="3"/>
  <c r="K224" i="3"/>
  <c r="L224" i="3"/>
  <c r="K225" i="3"/>
  <c r="L225" i="3"/>
  <c r="K226" i="3"/>
  <c r="L226" i="3"/>
  <c r="K227" i="3"/>
  <c r="L227" i="3"/>
  <c r="K228" i="3"/>
  <c r="L228" i="3"/>
  <c r="K229" i="3"/>
  <c r="L229" i="3"/>
  <c r="K230" i="3"/>
  <c r="L230" i="3"/>
  <c r="K231" i="3"/>
  <c r="L231" i="3"/>
  <c r="K232" i="3"/>
  <c r="L232" i="3"/>
  <c r="K233" i="3"/>
  <c r="L233" i="3"/>
  <c r="K234" i="3"/>
  <c r="L234" i="3"/>
  <c r="K195" i="3"/>
  <c r="L195" i="3"/>
  <c r="K196" i="3"/>
  <c r="L196" i="3"/>
  <c r="K197" i="3"/>
  <c r="L197" i="3"/>
  <c r="K198" i="3"/>
  <c r="L198" i="3"/>
  <c r="K199" i="3"/>
  <c r="L199" i="3"/>
  <c r="K200" i="3"/>
  <c r="L200" i="3"/>
  <c r="K201" i="3"/>
  <c r="L201" i="3"/>
  <c r="K202" i="3"/>
  <c r="L202" i="3"/>
  <c r="K203" i="3"/>
  <c r="L203" i="3"/>
  <c r="K204" i="3"/>
  <c r="L204" i="3"/>
  <c r="K205" i="3"/>
  <c r="L205" i="3"/>
  <c r="K206" i="3"/>
  <c r="L206" i="3"/>
  <c r="K207" i="3"/>
  <c r="L207" i="3"/>
  <c r="K208" i="3"/>
  <c r="L208" i="3"/>
  <c r="K174" i="3"/>
  <c r="L174" i="3"/>
  <c r="K175" i="3"/>
  <c r="L175" i="3"/>
  <c r="K176" i="3"/>
  <c r="L176" i="3"/>
  <c r="K177" i="3"/>
  <c r="L177" i="3"/>
  <c r="K178" i="3"/>
  <c r="L178" i="3"/>
  <c r="K179" i="3"/>
  <c r="L179" i="3"/>
  <c r="K180" i="3"/>
  <c r="L180" i="3"/>
  <c r="K181" i="3"/>
  <c r="L181" i="3"/>
  <c r="K182" i="3"/>
  <c r="L182" i="3"/>
  <c r="K149" i="3"/>
  <c r="L149" i="3"/>
  <c r="K150" i="3"/>
  <c r="L150" i="3"/>
  <c r="K151" i="3"/>
  <c r="L151" i="3"/>
  <c r="K152" i="3"/>
  <c r="L152" i="3"/>
  <c r="K153" i="3"/>
  <c r="L153" i="3"/>
  <c r="K154" i="3"/>
  <c r="L154" i="3"/>
  <c r="K155" i="3"/>
  <c r="L155" i="3"/>
  <c r="K156" i="3"/>
  <c r="L156" i="3"/>
  <c r="K157" i="3"/>
  <c r="L157" i="3"/>
  <c r="K158" i="3"/>
  <c r="L158" i="3"/>
  <c r="K159" i="3"/>
  <c r="L159" i="3"/>
  <c r="K160" i="3"/>
  <c r="L160" i="3"/>
  <c r="K161" i="3"/>
  <c r="L161" i="3"/>
  <c r="K162" i="3"/>
  <c r="L162" i="3"/>
  <c r="K128" i="3"/>
  <c r="L128" i="3"/>
  <c r="K129" i="3"/>
  <c r="L129" i="3"/>
  <c r="K130" i="3"/>
  <c r="L130" i="3"/>
  <c r="K131" i="3"/>
  <c r="L131" i="3"/>
  <c r="K132" i="3"/>
  <c r="L132" i="3"/>
  <c r="K133" i="3"/>
  <c r="L133" i="3"/>
  <c r="K134" i="3"/>
  <c r="L134" i="3"/>
  <c r="K135" i="3"/>
  <c r="L135" i="3"/>
  <c r="K136" i="3"/>
  <c r="L136" i="3"/>
  <c r="K100" i="3"/>
  <c r="L100" i="3"/>
  <c r="K101" i="3"/>
  <c r="L101" i="3"/>
  <c r="K102" i="3"/>
  <c r="L102" i="3"/>
  <c r="K103" i="3"/>
  <c r="L103" i="3"/>
  <c r="K104" i="3"/>
  <c r="L104" i="3"/>
  <c r="K105" i="3"/>
  <c r="L105" i="3"/>
  <c r="K106" i="3"/>
  <c r="L106" i="3"/>
  <c r="K107" i="3"/>
  <c r="L107" i="3"/>
  <c r="K108" i="3"/>
  <c r="L108" i="3"/>
  <c r="K109" i="3"/>
  <c r="L109" i="3"/>
  <c r="K110" i="3"/>
  <c r="L110" i="3"/>
  <c r="K111" i="3"/>
  <c r="L111" i="3"/>
  <c r="K112" i="3"/>
  <c r="L112" i="3"/>
  <c r="K113" i="3"/>
  <c r="L113" i="3"/>
  <c r="K75" i="3"/>
  <c r="L75" i="3"/>
  <c r="K76" i="3"/>
  <c r="L76" i="3"/>
  <c r="K77" i="3"/>
  <c r="L77" i="3"/>
  <c r="K78" i="3"/>
  <c r="L78" i="3"/>
  <c r="K79" i="3"/>
  <c r="L79" i="3"/>
  <c r="K80" i="3"/>
  <c r="L80" i="3"/>
  <c r="K81" i="3"/>
  <c r="L81" i="3"/>
  <c r="K82" i="3"/>
  <c r="L82" i="3"/>
  <c r="K83" i="3"/>
  <c r="L83" i="3"/>
  <c r="K84" i="3"/>
  <c r="L84" i="3"/>
  <c r="K85" i="3"/>
  <c r="L85" i="3"/>
  <c r="K86" i="3"/>
  <c r="L86" i="3"/>
  <c r="K87" i="3"/>
  <c r="L87" i="3"/>
  <c r="K88" i="3"/>
  <c r="L88" i="3"/>
  <c r="K49" i="3"/>
  <c r="L49" i="3"/>
  <c r="K50" i="3"/>
  <c r="L50" i="3"/>
  <c r="K51" i="3"/>
  <c r="L51" i="3"/>
  <c r="K52" i="3"/>
  <c r="L52" i="3"/>
  <c r="K53" i="3"/>
  <c r="L53" i="3"/>
  <c r="K54" i="3"/>
  <c r="L54" i="3"/>
  <c r="K55" i="3"/>
  <c r="L55" i="3"/>
  <c r="K56" i="3"/>
  <c r="L56" i="3"/>
  <c r="K57" i="3"/>
  <c r="L57" i="3"/>
  <c r="K58" i="3"/>
  <c r="L58" i="3"/>
  <c r="K59" i="3"/>
  <c r="L59" i="3"/>
  <c r="K60" i="3"/>
  <c r="L60" i="3"/>
  <c r="K61" i="3"/>
  <c r="L61" i="3"/>
  <c r="K62" i="3"/>
  <c r="L62" i="3"/>
  <c r="M294" i="3" l="1"/>
  <c r="M124" i="3"/>
  <c r="M96" i="3"/>
  <c r="M70" i="3"/>
  <c r="M45" i="3"/>
  <c r="Y304" i="3"/>
  <c r="Y301" i="3"/>
  <c r="Y150" i="3"/>
  <c r="Y306" i="3"/>
  <c r="Y303" i="3"/>
  <c r="Y307" i="3"/>
  <c r="Y300" i="3"/>
  <c r="Y302" i="3"/>
  <c r="Y149" i="3"/>
  <c r="Y308" i="3"/>
  <c r="Y305" i="3"/>
  <c r="Y157" i="3"/>
  <c r="Y310" i="3"/>
  <c r="Y298" i="3"/>
  <c r="Y159" i="3"/>
  <c r="Y162" i="3"/>
  <c r="Y312" i="3"/>
  <c r="Y309" i="3"/>
  <c r="Y74" i="3"/>
  <c r="Y151" i="3"/>
  <c r="Y311" i="3"/>
  <c r="Y148" i="3"/>
  <c r="Y299" i="3"/>
  <c r="L475" i="3" l="1"/>
  <c r="L458" i="3"/>
  <c r="H428" i="3"/>
  <c r="H429" i="3" s="1"/>
  <c r="H430" i="3" s="1"/>
  <c r="H431" i="3" s="1"/>
  <c r="H432" i="3" s="1"/>
  <c r="H433" i="3" s="1"/>
  <c r="H434" i="3" s="1"/>
  <c r="H435" i="3" s="1"/>
  <c r="H436" i="3" s="1"/>
  <c r="H437" i="3" s="1"/>
  <c r="H403" i="3"/>
  <c r="H404" i="3" s="1"/>
  <c r="H405" i="3" s="1"/>
  <c r="H406" i="3" s="1"/>
  <c r="H407" i="3" s="1"/>
  <c r="H408" i="3" s="1"/>
  <c r="H409" i="3" s="1"/>
  <c r="H410" i="3" s="1"/>
  <c r="H411" i="3" s="1"/>
  <c r="H412" i="3" s="1"/>
  <c r="H413" i="3" s="1"/>
  <c r="H414" i="3" s="1"/>
  <c r="H415" i="3" s="1"/>
  <c r="H416" i="3" s="1"/>
  <c r="H417" i="3" s="1"/>
  <c r="H383" i="3"/>
  <c r="H384" i="3" s="1"/>
  <c r="H385" i="3" s="1"/>
  <c r="H386" i="3" s="1"/>
  <c r="H387" i="3" s="1"/>
  <c r="H388" i="3" s="1"/>
  <c r="H389" i="3" s="1"/>
  <c r="H390" i="3" s="1"/>
  <c r="H391" i="3" s="1"/>
  <c r="H392" i="3" s="1"/>
  <c r="H364" i="3"/>
  <c r="H365" i="3"/>
  <c r="H366" i="3"/>
  <c r="H367" i="3"/>
  <c r="H368" i="3"/>
  <c r="H369" i="3"/>
  <c r="H370" i="3"/>
  <c r="H371" i="3"/>
  <c r="H372" i="3"/>
  <c r="H363" i="3"/>
  <c r="H343" i="3"/>
  <c r="H344" i="3" s="1"/>
  <c r="H345" i="3" s="1"/>
  <c r="H346" i="3" s="1"/>
  <c r="H347" i="3" s="1"/>
  <c r="H348" i="3" s="1"/>
  <c r="H349" i="3" s="1"/>
  <c r="H350" i="3" s="1"/>
  <c r="H351" i="3" s="1"/>
  <c r="H352" i="3" s="1"/>
  <c r="H323" i="3"/>
  <c r="H324" i="3" s="1"/>
  <c r="H325" i="3" s="1"/>
  <c r="H326" i="3" s="1"/>
  <c r="H327" i="3" s="1"/>
  <c r="H328" i="3" s="1"/>
  <c r="H329" i="3" s="1"/>
  <c r="H330" i="3" s="1"/>
  <c r="H331" i="3" s="1"/>
  <c r="H332" i="3" s="1"/>
  <c r="H298" i="3"/>
  <c r="H299" i="3" s="1"/>
  <c r="H300" i="3" s="1"/>
  <c r="H301" i="3" s="1"/>
  <c r="H302" i="3" s="1"/>
  <c r="H303" i="3" s="1"/>
  <c r="H304" i="3" s="1"/>
  <c r="H305" i="3" s="1"/>
  <c r="H306" i="3" s="1"/>
  <c r="H307" i="3" s="1"/>
  <c r="H308" i="3" s="1"/>
  <c r="H309" i="3" s="1"/>
  <c r="H310" i="3" s="1"/>
  <c r="H311" i="3" s="1"/>
  <c r="H312" i="3" s="1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72" i="3"/>
  <c r="H246" i="3"/>
  <c r="H247" i="3" s="1"/>
  <c r="H248" i="3" s="1"/>
  <c r="H249" i="3" s="1"/>
  <c r="H250" i="3" s="1"/>
  <c r="H251" i="3" s="1"/>
  <c r="H252" i="3" s="1"/>
  <c r="H253" i="3" s="1"/>
  <c r="H254" i="3" s="1"/>
  <c r="H255" i="3" s="1"/>
  <c r="H256" i="3" s="1"/>
  <c r="H257" i="3" s="1"/>
  <c r="H258" i="3" s="1"/>
  <c r="H259" i="3" s="1"/>
  <c r="H260" i="3" s="1"/>
  <c r="H220" i="3"/>
  <c r="H221" i="3" s="1"/>
  <c r="H222" i="3" s="1"/>
  <c r="H223" i="3" s="1"/>
  <c r="H224" i="3" s="1"/>
  <c r="H225" i="3" s="1"/>
  <c r="H226" i="3" s="1"/>
  <c r="H227" i="3" s="1"/>
  <c r="H228" i="3" s="1"/>
  <c r="H229" i="3" s="1"/>
  <c r="H230" i="3" s="1"/>
  <c r="H231" i="3" s="1"/>
  <c r="H232" i="3" s="1"/>
  <c r="H233" i="3" s="1"/>
  <c r="H234" i="3" s="1"/>
  <c r="H199" i="3"/>
  <c r="H200" i="3" s="1"/>
  <c r="H201" i="3" s="1"/>
  <c r="H202" i="3" s="1"/>
  <c r="H203" i="3" s="1"/>
  <c r="H204" i="3" s="1"/>
  <c r="H205" i="3" s="1"/>
  <c r="H206" i="3" s="1"/>
  <c r="H207" i="3" s="1"/>
  <c r="H208" i="3" s="1"/>
  <c r="H173" i="3"/>
  <c r="H174" i="3" s="1"/>
  <c r="H175" i="3" s="1"/>
  <c r="H176" i="3" s="1"/>
  <c r="H177" i="3" s="1"/>
  <c r="H178" i="3" s="1"/>
  <c r="H179" i="3" s="1"/>
  <c r="H180" i="3" s="1"/>
  <c r="H181" i="3" s="1"/>
  <c r="H182" i="3" s="1"/>
  <c r="H148" i="3"/>
  <c r="H149" i="3" s="1"/>
  <c r="H150" i="3" s="1"/>
  <c r="H151" i="3" s="1"/>
  <c r="H152" i="3" s="1"/>
  <c r="H153" i="3" s="1"/>
  <c r="H154" i="3" s="1"/>
  <c r="H155" i="3" s="1"/>
  <c r="H156" i="3" s="1"/>
  <c r="H157" i="3" s="1"/>
  <c r="H158" i="3" s="1"/>
  <c r="H159" i="3" s="1"/>
  <c r="H160" i="3" s="1"/>
  <c r="H161" i="3" s="1"/>
  <c r="H162" i="3" s="1"/>
  <c r="H127" i="3"/>
  <c r="H128" i="3" s="1"/>
  <c r="H129" i="3" s="1"/>
  <c r="H130" i="3" s="1"/>
  <c r="H131" i="3" s="1"/>
  <c r="H132" i="3" s="1"/>
  <c r="H133" i="3" s="1"/>
  <c r="H134" i="3" s="1"/>
  <c r="H135" i="3" s="1"/>
  <c r="H136" i="3" s="1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99" i="3"/>
  <c r="H74" i="3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48" i="3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L48" i="3"/>
  <c r="L428" i="3"/>
  <c r="K428" i="3"/>
  <c r="O425" i="3"/>
  <c r="N425" i="3"/>
  <c r="L403" i="3"/>
  <c r="K403" i="3"/>
  <c r="N400" i="3"/>
  <c r="O400" i="3"/>
  <c r="K383" i="3"/>
  <c r="O380" i="3"/>
  <c r="N380" i="3"/>
  <c r="L363" i="3"/>
  <c r="K363" i="3"/>
  <c r="O360" i="3"/>
  <c r="N360" i="3"/>
  <c r="L343" i="3"/>
  <c r="K343" i="3"/>
  <c r="N340" i="3"/>
  <c r="O340" i="3" l="1"/>
  <c r="L323" i="3"/>
  <c r="K323" i="3"/>
  <c r="N320" i="3"/>
  <c r="R108" i="3"/>
  <c r="R323" i="3"/>
  <c r="P408" i="3"/>
  <c r="Q416" i="3"/>
  <c r="R406" i="3"/>
  <c r="P327" i="3"/>
  <c r="N403" i="3"/>
  <c r="N350" i="3"/>
  <c r="R404" i="3"/>
  <c r="S412" i="3"/>
  <c r="R431" i="3"/>
  <c r="Q404" i="3"/>
  <c r="R109" i="3"/>
  <c r="O428" i="3"/>
  <c r="R347" i="3"/>
  <c r="S415" i="3"/>
  <c r="R387" i="3"/>
  <c r="P391" i="3"/>
  <c r="O390" i="3"/>
  <c r="Q388" i="3"/>
  <c r="Q363" i="3"/>
  <c r="N372" i="3"/>
  <c r="N406" i="3"/>
  <c r="S416" i="3"/>
  <c r="R435" i="3"/>
  <c r="Q408" i="3"/>
  <c r="O432" i="3"/>
  <c r="P324" i="3"/>
  <c r="P416" i="3"/>
  <c r="N404" i="3"/>
  <c r="P351" i="3"/>
  <c r="R331" i="3"/>
  <c r="O344" i="3"/>
  <c r="N415" i="3"/>
  <c r="O412" i="3"/>
  <c r="R389" i="3"/>
  <c r="S391" i="3"/>
  <c r="O343" i="3"/>
  <c r="N412" i="3"/>
  <c r="R101" i="3"/>
  <c r="R370" i="3"/>
  <c r="N384" i="3"/>
  <c r="N387" i="3"/>
  <c r="N369" i="3"/>
  <c r="Q332" i="3"/>
  <c r="R367" i="3"/>
  <c r="R413" i="3"/>
  <c r="O346" i="3"/>
  <c r="Q413" i="3"/>
  <c r="P325" i="3"/>
  <c r="O325" i="3"/>
  <c r="P434" i="3"/>
  <c r="N344" i="3"/>
  <c r="O327" i="3"/>
  <c r="R392" i="3"/>
  <c r="S386" i="3"/>
  <c r="R386" i="3"/>
  <c r="Q364" i="3"/>
  <c r="N325" i="3"/>
  <c r="R434" i="3"/>
  <c r="Q405" i="3"/>
  <c r="O389" i="3"/>
  <c r="P388" i="3"/>
  <c r="P367" i="3"/>
  <c r="O411" i="3"/>
  <c r="P350" i="3"/>
  <c r="R412" i="3"/>
  <c r="R324" i="3"/>
  <c r="O417" i="3"/>
  <c r="O386" i="3"/>
  <c r="P387" i="3"/>
  <c r="O434" i="3"/>
  <c r="S413" i="3"/>
  <c r="O329" i="3"/>
  <c r="O416" i="3"/>
  <c r="S383" i="3"/>
  <c r="O437" i="3"/>
  <c r="R409" i="3"/>
  <c r="P369" i="3"/>
  <c r="Q410" i="3"/>
  <c r="Q366" i="3"/>
  <c r="O404" i="3"/>
  <c r="O369" i="3"/>
  <c r="S432" i="3"/>
  <c r="N390" i="3"/>
  <c r="P301" i="3"/>
  <c r="O312" i="3"/>
  <c r="N306" i="3"/>
  <c r="P310" i="3"/>
  <c r="O302" i="3"/>
  <c r="Q311" i="3"/>
  <c r="O308" i="3"/>
  <c r="N302" i="3"/>
  <c r="P299" i="3"/>
  <c r="Q310" i="3"/>
  <c r="N299" i="3"/>
  <c r="O301" i="3"/>
  <c r="R306" i="3"/>
  <c r="P303" i="3"/>
  <c r="N304" i="3"/>
  <c r="Q301" i="3"/>
  <c r="Q306" i="3"/>
  <c r="P298" i="3"/>
  <c r="O306" i="3"/>
  <c r="R303" i="3"/>
  <c r="Q428" i="3"/>
  <c r="Q433" i="3"/>
  <c r="S367" i="3"/>
  <c r="S364" i="3"/>
  <c r="S365" i="3"/>
  <c r="N432" i="3"/>
  <c r="N433" i="3"/>
  <c r="S436" i="3"/>
  <c r="O414" i="3"/>
  <c r="R364" i="3"/>
  <c r="P343" i="3"/>
  <c r="P417" i="3"/>
  <c r="N417" i="3"/>
  <c r="O332" i="3"/>
  <c r="P347" i="3"/>
  <c r="P415" i="3"/>
  <c r="N347" i="3"/>
  <c r="N407" i="3"/>
  <c r="O415" i="3"/>
  <c r="O436" i="3"/>
  <c r="N326" i="3"/>
  <c r="S431" i="3"/>
  <c r="O370" i="3"/>
  <c r="O383" i="3"/>
  <c r="N389" i="3"/>
  <c r="R390" i="3"/>
  <c r="S389" i="3"/>
  <c r="Q368" i="3"/>
  <c r="N365" i="3"/>
  <c r="R416" i="3"/>
  <c r="N351" i="3"/>
  <c r="N411" i="3"/>
  <c r="P345" i="3"/>
  <c r="P433" i="3"/>
  <c r="S414" i="3"/>
  <c r="Q414" i="3"/>
  <c r="Q411" i="3"/>
  <c r="P332" i="3"/>
  <c r="N345" i="3"/>
  <c r="R106" i="3"/>
  <c r="S404" i="3"/>
  <c r="S409" i="3"/>
  <c r="Q406" i="3"/>
  <c r="N392" i="3"/>
  <c r="P368" i="3"/>
  <c r="N332" i="3"/>
  <c r="R99" i="3"/>
  <c r="P344" i="3"/>
  <c r="P405" i="3"/>
  <c r="S410" i="3"/>
  <c r="N385" i="3"/>
  <c r="R383" i="3"/>
  <c r="R326" i="3"/>
  <c r="R414" i="3"/>
  <c r="S408" i="3"/>
  <c r="P326" i="3"/>
  <c r="P346" i="3"/>
  <c r="O429" i="3"/>
  <c r="R102" i="3"/>
  <c r="Q415" i="3"/>
  <c r="P412" i="3"/>
  <c r="R327" i="3"/>
  <c r="S406" i="3"/>
  <c r="R352" i="3"/>
  <c r="Q385" i="3"/>
  <c r="P384" i="3"/>
  <c r="N388" i="3"/>
  <c r="P363" i="3"/>
  <c r="O350" i="3"/>
  <c r="R437" i="3"/>
  <c r="P386" i="3"/>
  <c r="P390" i="3"/>
  <c r="N371" i="3"/>
  <c r="S434" i="3"/>
  <c r="O347" i="3"/>
  <c r="Q407" i="3"/>
  <c r="N352" i="3"/>
  <c r="R330" i="3"/>
  <c r="Q386" i="3"/>
  <c r="Q372" i="3"/>
  <c r="P411" i="3"/>
  <c r="O408" i="3"/>
  <c r="R328" i="3"/>
  <c r="O363" i="3"/>
  <c r="R325" i="3"/>
  <c r="Q390" i="3"/>
  <c r="R369" i="3"/>
  <c r="R105" i="3"/>
  <c r="P385" i="3"/>
  <c r="N370" i="3"/>
  <c r="O352" i="3"/>
  <c r="P383" i="3"/>
  <c r="Q324" i="3"/>
  <c r="N323" i="3"/>
  <c r="Q304" i="3"/>
  <c r="P307" i="3"/>
  <c r="N305" i="3"/>
  <c r="O311" i="3"/>
  <c r="R299" i="3"/>
  <c r="P312" i="3"/>
  <c r="O298" i="3"/>
  <c r="N301" i="3"/>
  <c r="O307" i="3"/>
  <c r="P311" i="3"/>
  <c r="O300" i="3"/>
  <c r="R302" i="3"/>
  <c r="Q300" i="3"/>
  <c r="R305" i="3"/>
  <c r="N303" i="3"/>
  <c r="O305" i="3"/>
  <c r="R311" i="3"/>
  <c r="P305" i="3"/>
  <c r="Q435" i="3"/>
  <c r="Q434" i="3"/>
  <c r="Q429" i="3"/>
  <c r="S363" i="3"/>
  <c r="S372" i="3"/>
  <c r="N434" i="3"/>
  <c r="N428" i="3"/>
  <c r="N435" i="3"/>
  <c r="N414" i="3"/>
  <c r="P348" i="3"/>
  <c r="Q331" i="3"/>
  <c r="O409" i="3"/>
  <c r="R366" i="3"/>
  <c r="R110" i="3"/>
  <c r="O328" i="3"/>
  <c r="R417" i="3"/>
  <c r="P349" i="3"/>
  <c r="P437" i="3"/>
  <c r="Q417" i="3"/>
  <c r="S411" i="3"/>
  <c r="R407" i="3"/>
  <c r="O371" i="3"/>
  <c r="R384" i="3"/>
  <c r="S392" i="3"/>
  <c r="R388" i="3"/>
  <c r="S385" i="3"/>
  <c r="P370" i="3"/>
  <c r="N366" i="3"/>
  <c r="P323" i="3"/>
  <c r="R372" i="3"/>
  <c r="O326" i="3"/>
  <c r="P409" i="3"/>
  <c r="Q327" i="3"/>
  <c r="R104" i="3"/>
  <c r="Q326" i="3"/>
  <c r="R350" i="3"/>
  <c r="R351" i="3"/>
  <c r="R415" i="3"/>
  <c r="P431" i="3"/>
  <c r="R403" i="3"/>
  <c r="P328" i="3"/>
  <c r="N329" i="3"/>
  <c r="P389" i="3"/>
  <c r="N368" i="3"/>
  <c r="O345" i="3"/>
  <c r="R429" i="3"/>
  <c r="R368" i="3"/>
  <c r="N413" i="3"/>
  <c r="Q383" i="3"/>
  <c r="Q369" i="3"/>
  <c r="S429" i="3"/>
  <c r="R100" i="3"/>
  <c r="N343" i="3"/>
  <c r="N348" i="3"/>
  <c r="P406" i="3"/>
  <c r="P410" i="3"/>
  <c r="P407" i="3"/>
  <c r="P352" i="3"/>
  <c r="R113" i="3"/>
  <c r="Q330" i="3"/>
  <c r="R343" i="3"/>
  <c r="O368" i="3"/>
  <c r="P392" i="3"/>
  <c r="N386" i="3"/>
  <c r="S390" i="3"/>
  <c r="P366" i="3"/>
  <c r="R346" i="3"/>
  <c r="O433" i="3"/>
  <c r="N330" i="3"/>
  <c r="N383" i="3"/>
  <c r="O388" i="3"/>
  <c r="R363" i="3"/>
  <c r="N328" i="3"/>
  <c r="Q323" i="3"/>
  <c r="P331" i="3"/>
  <c r="O403" i="3"/>
  <c r="O405" i="3"/>
  <c r="S388" i="3"/>
  <c r="P364" i="3"/>
  <c r="R345" i="3"/>
  <c r="R344" i="3"/>
  <c r="P429" i="3"/>
  <c r="Q391" i="3"/>
  <c r="Q328" i="3"/>
  <c r="N405" i="3"/>
  <c r="Q403" i="3"/>
  <c r="R436" i="3"/>
  <c r="O331" i="3"/>
  <c r="S387" i="3"/>
  <c r="Q371" i="3"/>
  <c r="S417" i="3"/>
  <c r="P365" i="3"/>
  <c r="O351" i="3"/>
  <c r="N312" i="3"/>
  <c r="R310" i="3"/>
  <c r="Q307" i="3"/>
  <c r="P302" i="3"/>
  <c r="N308" i="3"/>
  <c r="Q302" i="3"/>
  <c r="R309" i="3"/>
  <c r="P300" i="3"/>
  <c r="O310" i="3"/>
  <c r="R304" i="3"/>
  <c r="P309" i="3"/>
  <c r="Q299" i="3"/>
  <c r="N310" i="3"/>
  <c r="O299" i="3"/>
  <c r="P304" i="3"/>
  <c r="O304" i="3"/>
  <c r="Q308" i="3"/>
  <c r="R308" i="3"/>
  <c r="Q437" i="3"/>
  <c r="Q431" i="3"/>
  <c r="Q430" i="3"/>
  <c r="S369" i="3"/>
  <c r="S370" i="3"/>
  <c r="N431" i="3"/>
  <c r="N430" i="3"/>
  <c r="N437" i="3"/>
  <c r="O348" i="3"/>
  <c r="R329" i="3"/>
  <c r="S405" i="3"/>
  <c r="R430" i="3"/>
  <c r="Q409" i="3"/>
  <c r="N327" i="3"/>
  <c r="S407" i="3"/>
  <c r="P428" i="3"/>
  <c r="Q329" i="3"/>
  <c r="O431" i="3"/>
  <c r="O349" i="3"/>
  <c r="N331" i="3"/>
  <c r="P413" i="3"/>
  <c r="O323" i="3"/>
  <c r="O330" i="3"/>
  <c r="O367" i="3"/>
  <c r="Q392" i="3"/>
  <c r="O387" i="3"/>
  <c r="Q389" i="3"/>
  <c r="Q367" i="3"/>
  <c r="P372" i="3"/>
  <c r="R112" i="3"/>
  <c r="O406" i="3"/>
  <c r="O435" i="3"/>
  <c r="R103" i="3"/>
  <c r="R365" i="3"/>
  <c r="P436" i="3"/>
  <c r="P435" i="3"/>
  <c r="P430" i="3"/>
  <c r="R111" i="3"/>
  <c r="R411" i="3"/>
  <c r="O413" i="3"/>
  <c r="N410" i="3"/>
  <c r="S433" i="3"/>
  <c r="N416" i="3"/>
  <c r="Q325" i="3"/>
  <c r="Q387" i="3"/>
  <c r="R408" i="3"/>
  <c r="P329" i="3"/>
  <c r="P403" i="3"/>
  <c r="Q412" i="3"/>
  <c r="N349" i="3"/>
  <c r="O365" i="3"/>
  <c r="O392" i="3"/>
  <c r="P371" i="3"/>
  <c r="R432" i="3"/>
  <c r="S437" i="3"/>
  <c r="R107" i="3"/>
  <c r="N346" i="3"/>
  <c r="P330" i="3"/>
  <c r="R371" i="3"/>
  <c r="R332" i="3"/>
  <c r="O407" i="3"/>
  <c r="R410" i="3"/>
  <c r="N409" i="3"/>
  <c r="P432" i="3"/>
  <c r="O366" i="3"/>
  <c r="N391" i="3"/>
  <c r="R391" i="3"/>
  <c r="Q365" i="3"/>
  <c r="N364" i="3"/>
  <c r="S430" i="3"/>
  <c r="P414" i="3"/>
  <c r="O372" i="3"/>
  <c r="S384" i="3"/>
  <c r="Q370" i="3"/>
  <c r="S428" i="3"/>
  <c r="N324" i="3"/>
  <c r="O430" i="3"/>
  <c r="P404" i="3"/>
  <c r="R428" i="3"/>
  <c r="O364" i="3"/>
  <c r="O391" i="3"/>
  <c r="N367" i="3"/>
  <c r="R405" i="3"/>
  <c r="S403" i="3"/>
  <c r="O324" i="3"/>
  <c r="O385" i="3"/>
  <c r="N408" i="3"/>
  <c r="O410" i="3"/>
  <c r="Q384" i="3"/>
  <c r="R349" i="3"/>
  <c r="R348" i="3"/>
  <c r="R385" i="3"/>
  <c r="N363" i="3"/>
  <c r="R433" i="3"/>
  <c r="S435" i="3"/>
  <c r="O384" i="3"/>
  <c r="N311" i="3"/>
  <c r="Q298" i="3"/>
  <c r="R312" i="3"/>
  <c r="P308" i="3"/>
  <c r="R300" i="3"/>
  <c r="N307" i="3"/>
  <c r="O309" i="3"/>
  <c r="R298" i="3"/>
  <c r="R307" i="3"/>
  <c r="N300" i="3"/>
  <c r="Q312" i="3"/>
  <c r="P306" i="3"/>
  <c r="N309" i="3"/>
  <c r="R301" i="3"/>
  <c r="Q303" i="3"/>
  <c r="Q305" i="3"/>
  <c r="O303" i="3"/>
  <c r="Q309" i="3"/>
  <c r="Q432" i="3"/>
  <c r="Q436" i="3"/>
  <c r="S368" i="3"/>
  <c r="S366" i="3"/>
  <c r="S371" i="3"/>
  <c r="N436" i="3"/>
  <c r="N429" i="3"/>
  <c r="S325" i="3"/>
  <c r="S326" i="3"/>
  <c r="S332" i="3"/>
  <c r="S327" i="3"/>
  <c r="S331" i="3"/>
  <c r="S323" i="3"/>
  <c r="S329" i="3"/>
  <c r="S324" i="3"/>
  <c r="S330" i="3"/>
  <c r="S328" i="3"/>
  <c r="Q348" i="3"/>
  <c r="Q347" i="3"/>
  <c r="Q343" i="3"/>
  <c r="Q345" i="3"/>
  <c r="Q349" i="3"/>
  <c r="Q350" i="3"/>
  <c r="Q344" i="3"/>
  <c r="Q352" i="3"/>
  <c r="Q351" i="3"/>
  <c r="Q346" i="3"/>
  <c r="S348" i="3"/>
  <c r="S351" i="3"/>
  <c r="S346" i="3"/>
  <c r="S343" i="3"/>
  <c r="S352" i="3"/>
  <c r="S349" i="3"/>
  <c r="S344" i="3"/>
  <c r="S345" i="3"/>
  <c r="S350" i="3"/>
  <c r="S347" i="3"/>
  <c r="O320" i="3" l="1"/>
  <c r="L298" i="3"/>
  <c r="K298" i="3"/>
  <c r="N294" i="3"/>
  <c r="N124" i="3"/>
  <c r="O124" i="3"/>
  <c r="K127" i="3"/>
  <c r="L127" i="3"/>
  <c r="N298" i="3"/>
  <c r="S310" i="3"/>
  <c r="S309" i="3"/>
  <c r="R127" i="3"/>
  <c r="S305" i="3"/>
  <c r="O127" i="3"/>
  <c r="S304" i="3"/>
  <c r="S312" i="3"/>
  <c r="S302" i="3"/>
  <c r="S311" i="3"/>
  <c r="S301" i="3"/>
  <c r="S127" i="3"/>
  <c r="S308" i="3"/>
  <c r="S303" i="3"/>
  <c r="N127" i="3"/>
  <c r="S300" i="3"/>
  <c r="S307" i="3"/>
  <c r="P127" i="3"/>
  <c r="Q127" i="3"/>
  <c r="S299" i="3"/>
  <c r="S306" i="3"/>
  <c r="S298" i="3"/>
  <c r="O294" i="3" l="1"/>
  <c r="L272" i="3"/>
  <c r="K272" i="3"/>
  <c r="O268" i="3"/>
  <c r="N268" i="3"/>
  <c r="L246" i="3"/>
  <c r="K246" i="3"/>
  <c r="O242" i="3"/>
  <c r="N242" i="3"/>
  <c r="L220" i="3"/>
  <c r="K220" i="3"/>
  <c r="O216" i="3"/>
  <c r="N216" i="3"/>
  <c r="L194" i="3"/>
  <c r="K194" i="3"/>
  <c r="O190" i="3"/>
  <c r="N190" i="3"/>
  <c r="L173" i="3"/>
  <c r="K173" i="3"/>
  <c r="N170" i="3"/>
  <c r="O170" i="3"/>
  <c r="L148" i="3"/>
  <c r="K148" i="3"/>
  <c r="N144" i="3"/>
  <c r="O144" i="3"/>
  <c r="L99" i="3"/>
  <c r="K99" i="3"/>
  <c r="N96" i="3"/>
  <c r="K16" i="3"/>
  <c r="O96" i="3" l="1"/>
  <c r="L74" i="3"/>
  <c r="K74" i="3"/>
  <c r="K48" i="3"/>
  <c r="N70" i="3"/>
  <c r="O70" i="3" l="1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14" i="3"/>
  <c r="I428" i="3" l="1"/>
  <c r="F428" i="3"/>
  <c r="I403" i="3"/>
  <c r="F403" i="3"/>
  <c r="I383" i="3"/>
  <c r="F383" i="3"/>
  <c r="I363" i="3"/>
  <c r="F363" i="3"/>
  <c r="F416" i="3"/>
  <c r="I416" i="3"/>
  <c r="F414" i="3"/>
  <c r="I414" i="3"/>
  <c r="F437" i="3"/>
  <c r="I437" i="3"/>
  <c r="F412" i="3"/>
  <c r="I412" i="3"/>
  <c r="F392" i="3"/>
  <c r="I392" i="3"/>
  <c r="F372" i="3"/>
  <c r="I372" i="3"/>
  <c r="I352" i="3"/>
  <c r="F352" i="3"/>
  <c r="F435" i="3"/>
  <c r="I435" i="3"/>
  <c r="F410" i="3"/>
  <c r="I410" i="3"/>
  <c r="F390" i="3"/>
  <c r="I390" i="3"/>
  <c r="F370" i="3"/>
  <c r="I370" i="3"/>
  <c r="I350" i="3"/>
  <c r="F350" i="3"/>
  <c r="F433" i="3"/>
  <c r="I433" i="3"/>
  <c r="F408" i="3"/>
  <c r="I408" i="3"/>
  <c r="F388" i="3"/>
  <c r="I388" i="3"/>
  <c r="F368" i="3"/>
  <c r="I368" i="3"/>
  <c r="I348" i="3"/>
  <c r="F348" i="3"/>
  <c r="F431" i="3"/>
  <c r="I431" i="3"/>
  <c r="F406" i="3"/>
  <c r="I406" i="3"/>
  <c r="F386" i="3"/>
  <c r="I386" i="3"/>
  <c r="F366" i="3"/>
  <c r="I366" i="3"/>
  <c r="I346" i="3"/>
  <c r="F346" i="3"/>
  <c r="F429" i="3"/>
  <c r="I429" i="3"/>
  <c r="F404" i="3"/>
  <c r="I404" i="3"/>
  <c r="F384" i="3"/>
  <c r="I384" i="3"/>
  <c r="F364" i="3"/>
  <c r="I364" i="3"/>
  <c r="I344" i="3"/>
  <c r="F344" i="3"/>
  <c r="F417" i="3"/>
  <c r="I417" i="3"/>
  <c r="F415" i="3"/>
  <c r="I415" i="3"/>
  <c r="F413" i="3"/>
  <c r="I413" i="3"/>
  <c r="F436" i="3"/>
  <c r="I436" i="3"/>
  <c r="F411" i="3"/>
  <c r="I411" i="3"/>
  <c r="F391" i="3"/>
  <c r="I391" i="3"/>
  <c r="F371" i="3"/>
  <c r="I371" i="3"/>
  <c r="I351" i="3"/>
  <c r="F351" i="3"/>
  <c r="F434" i="3"/>
  <c r="I434" i="3"/>
  <c r="F409" i="3"/>
  <c r="I409" i="3"/>
  <c r="F389" i="3"/>
  <c r="I389" i="3"/>
  <c r="F369" i="3"/>
  <c r="I369" i="3"/>
  <c r="I349" i="3"/>
  <c r="F349" i="3"/>
  <c r="F432" i="3"/>
  <c r="I432" i="3"/>
  <c r="F407" i="3"/>
  <c r="I407" i="3"/>
  <c r="F387" i="3"/>
  <c r="I387" i="3"/>
  <c r="F367" i="3"/>
  <c r="I367" i="3"/>
  <c r="I347" i="3"/>
  <c r="F347" i="3"/>
  <c r="F430" i="3"/>
  <c r="I430" i="3"/>
  <c r="F405" i="3"/>
  <c r="I405" i="3"/>
  <c r="F385" i="3"/>
  <c r="I385" i="3"/>
  <c r="F365" i="3"/>
  <c r="I365" i="3"/>
  <c r="I345" i="3"/>
  <c r="F345" i="3"/>
  <c r="I343" i="3"/>
  <c r="F343" i="3"/>
  <c r="F323" i="3"/>
  <c r="I323" i="3"/>
  <c r="F298" i="3"/>
  <c r="I298" i="3"/>
  <c r="I127" i="3"/>
  <c r="F127" i="3"/>
  <c r="I272" i="3"/>
  <c r="F272" i="3"/>
  <c r="I246" i="3"/>
  <c r="F246" i="3"/>
  <c r="I220" i="3"/>
  <c r="F220" i="3"/>
  <c r="I311" i="3"/>
  <c r="F311" i="3"/>
  <c r="I285" i="3"/>
  <c r="F285" i="3"/>
  <c r="F259" i="3"/>
  <c r="I259" i="3"/>
  <c r="F161" i="3"/>
  <c r="F207" i="3"/>
  <c r="F233" i="3"/>
  <c r="I161" i="3"/>
  <c r="I207" i="3"/>
  <c r="I233" i="3"/>
  <c r="I309" i="3"/>
  <c r="F309" i="3"/>
  <c r="I283" i="3"/>
  <c r="F283" i="3"/>
  <c r="F257" i="3"/>
  <c r="I257" i="3"/>
  <c r="F159" i="3"/>
  <c r="F205" i="3"/>
  <c r="F231" i="3"/>
  <c r="I159" i="3"/>
  <c r="I205" i="3"/>
  <c r="I231" i="3"/>
  <c r="I332" i="3"/>
  <c r="F332" i="3"/>
  <c r="I307" i="3"/>
  <c r="F307" i="3"/>
  <c r="F136" i="3"/>
  <c r="I136" i="3"/>
  <c r="I281" i="3"/>
  <c r="F281" i="3"/>
  <c r="F255" i="3"/>
  <c r="I255" i="3"/>
  <c r="F157" i="3"/>
  <c r="F182" i="3"/>
  <c r="F203" i="3"/>
  <c r="F229" i="3"/>
  <c r="I157" i="3"/>
  <c r="I182" i="3"/>
  <c r="I203" i="3"/>
  <c r="I229" i="3"/>
  <c r="I330" i="3"/>
  <c r="F330" i="3"/>
  <c r="I305" i="3"/>
  <c r="F305" i="3"/>
  <c r="F134" i="3"/>
  <c r="I134" i="3"/>
  <c r="I279" i="3"/>
  <c r="F279" i="3"/>
  <c r="F253" i="3"/>
  <c r="I253" i="3"/>
  <c r="F155" i="3"/>
  <c r="F180" i="3"/>
  <c r="F201" i="3"/>
  <c r="F227" i="3"/>
  <c r="I155" i="3"/>
  <c r="I180" i="3"/>
  <c r="I201" i="3"/>
  <c r="I227" i="3"/>
  <c r="I328" i="3"/>
  <c r="F328" i="3"/>
  <c r="I303" i="3"/>
  <c r="F303" i="3"/>
  <c r="F132" i="3"/>
  <c r="I132" i="3"/>
  <c r="I277" i="3"/>
  <c r="F277" i="3"/>
  <c r="F251" i="3"/>
  <c r="I251" i="3"/>
  <c r="F153" i="3"/>
  <c r="F178" i="3"/>
  <c r="F199" i="3"/>
  <c r="F225" i="3"/>
  <c r="I153" i="3"/>
  <c r="I178" i="3"/>
  <c r="I199" i="3"/>
  <c r="I225" i="3"/>
  <c r="I326" i="3"/>
  <c r="F326" i="3"/>
  <c r="I301" i="3"/>
  <c r="F301" i="3"/>
  <c r="F130" i="3"/>
  <c r="I130" i="3"/>
  <c r="I275" i="3"/>
  <c r="F275" i="3"/>
  <c r="F249" i="3"/>
  <c r="I249" i="3"/>
  <c r="F151" i="3"/>
  <c r="F176" i="3"/>
  <c r="F197" i="3"/>
  <c r="F223" i="3"/>
  <c r="I151" i="3"/>
  <c r="I176" i="3"/>
  <c r="I197" i="3"/>
  <c r="I223" i="3"/>
  <c r="I324" i="3"/>
  <c r="F324" i="3"/>
  <c r="I299" i="3"/>
  <c r="F299" i="3"/>
  <c r="I128" i="3"/>
  <c r="F128" i="3"/>
  <c r="I273" i="3"/>
  <c r="F273" i="3"/>
  <c r="F247" i="3"/>
  <c r="I247" i="3"/>
  <c r="F149" i="3"/>
  <c r="F174" i="3"/>
  <c r="F195" i="3"/>
  <c r="F221" i="3"/>
  <c r="I149" i="3"/>
  <c r="I174" i="3"/>
  <c r="I195" i="3"/>
  <c r="I221" i="3"/>
  <c r="I312" i="3"/>
  <c r="F312" i="3"/>
  <c r="I286" i="3"/>
  <c r="F286" i="3"/>
  <c r="F260" i="3"/>
  <c r="I260" i="3"/>
  <c r="F162" i="3"/>
  <c r="F208" i="3"/>
  <c r="F234" i="3"/>
  <c r="I162" i="3"/>
  <c r="I208" i="3"/>
  <c r="I234" i="3"/>
  <c r="I310" i="3"/>
  <c r="F310" i="3"/>
  <c r="I284" i="3"/>
  <c r="F284" i="3"/>
  <c r="F258" i="3"/>
  <c r="I258" i="3"/>
  <c r="F160" i="3"/>
  <c r="F206" i="3"/>
  <c r="F232" i="3"/>
  <c r="I160" i="3"/>
  <c r="I206" i="3"/>
  <c r="I232" i="3"/>
  <c r="I308" i="3"/>
  <c r="F308" i="3"/>
  <c r="I282" i="3"/>
  <c r="F282" i="3"/>
  <c r="F256" i="3"/>
  <c r="I256" i="3"/>
  <c r="F158" i="3"/>
  <c r="F204" i="3"/>
  <c r="F230" i="3"/>
  <c r="I158" i="3"/>
  <c r="I204" i="3"/>
  <c r="I230" i="3"/>
  <c r="I331" i="3"/>
  <c r="F331" i="3"/>
  <c r="I306" i="3"/>
  <c r="F306" i="3"/>
  <c r="F135" i="3"/>
  <c r="I135" i="3"/>
  <c r="I280" i="3"/>
  <c r="F280" i="3"/>
  <c r="F254" i="3"/>
  <c r="I254" i="3"/>
  <c r="F156" i="3"/>
  <c r="F181" i="3"/>
  <c r="F202" i="3"/>
  <c r="F228" i="3"/>
  <c r="I156" i="3"/>
  <c r="I181" i="3"/>
  <c r="I202" i="3"/>
  <c r="I228" i="3"/>
  <c r="I329" i="3"/>
  <c r="F329" i="3"/>
  <c r="I304" i="3"/>
  <c r="F304" i="3"/>
  <c r="F133" i="3"/>
  <c r="I133" i="3"/>
  <c r="I278" i="3"/>
  <c r="F278" i="3"/>
  <c r="F252" i="3"/>
  <c r="I252" i="3"/>
  <c r="F154" i="3"/>
  <c r="F179" i="3"/>
  <c r="F200" i="3"/>
  <c r="F226" i="3"/>
  <c r="I154" i="3"/>
  <c r="I179" i="3"/>
  <c r="I200" i="3"/>
  <c r="I226" i="3"/>
  <c r="I327" i="3"/>
  <c r="F327" i="3"/>
  <c r="I302" i="3"/>
  <c r="F302" i="3"/>
  <c r="F131" i="3"/>
  <c r="I131" i="3"/>
  <c r="I276" i="3"/>
  <c r="F276" i="3"/>
  <c r="F250" i="3"/>
  <c r="I250" i="3"/>
  <c r="F152" i="3"/>
  <c r="F177" i="3"/>
  <c r="F198" i="3"/>
  <c r="F224" i="3"/>
  <c r="I152" i="3"/>
  <c r="I177" i="3"/>
  <c r="I198" i="3"/>
  <c r="I224" i="3"/>
  <c r="I325" i="3"/>
  <c r="F325" i="3"/>
  <c r="I300" i="3"/>
  <c r="F300" i="3"/>
  <c r="F129" i="3"/>
  <c r="I129" i="3"/>
  <c r="I274" i="3"/>
  <c r="F274" i="3"/>
  <c r="F248" i="3"/>
  <c r="I248" i="3"/>
  <c r="F150" i="3"/>
  <c r="F175" i="3"/>
  <c r="F196" i="3"/>
  <c r="F222" i="3"/>
  <c r="I150" i="3"/>
  <c r="I175" i="3"/>
  <c r="I196" i="3"/>
  <c r="I222" i="3"/>
  <c r="I194" i="3"/>
  <c r="F194" i="3"/>
  <c r="I173" i="3"/>
  <c r="F173" i="3"/>
  <c r="I148" i="3"/>
  <c r="F148" i="3"/>
  <c r="I99" i="3"/>
  <c r="I74" i="3"/>
  <c r="F99" i="3"/>
  <c r="F112" i="3"/>
  <c r="I112" i="3"/>
  <c r="F110" i="3"/>
  <c r="I110" i="3"/>
  <c r="F108" i="3"/>
  <c r="I108" i="3"/>
  <c r="F106" i="3"/>
  <c r="I106" i="3"/>
  <c r="F104" i="3"/>
  <c r="I104" i="3"/>
  <c r="F102" i="3"/>
  <c r="I102" i="3"/>
  <c r="F100" i="3"/>
  <c r="I100" i="3"/>
  <c r="F113" i="3"/>
  <c r="I113" i="3"/>
  <c r="F111" i="3"/>
  <c r="I111" i="3"/>
  <c r="F109" i="3"/>
  <c r="I109" i="3"/>
  <c r="F107" i="3"/>
  <c r="I107" i="3"/>
  <c r="F105" i="3"/>
  <c r="I105" i="3"/>
  <c r="F103" i="3"/>
  <c r="I103" i="3"/>
  <c r="F101" i="3"/>
  <c r="I101" i="3"/>
  <c r="I48" i="3"/>
  <c r="F74" i="3"/>
  <c r="F48" i="3"/>
  <c r="F87" i="3"/>
  <c r="F61" i="3"/>
  <c r="I87" i="3"/>
  <c r="I61" i="3"/>
  <c r="F85" i="3"/>
  <c r="F59" i="3"/>
  <c r="I85" i="3"/>
  <c r="I59" i="3"/>
  <c r="F83" i="3"/>
  <c r="F57" i="3"/>
  <c r="I83" i="3"/>
  <c r="I57" i="3"/>
  <c r="F81" i="3"/>
  <c r="F55" i="3"/>
  <c r="I81" i="3"/>
  <c r="I55" i="3"/>
  <c r="F79" i="3"/>
  <c r="F53" i="3"/>
  <c r="I79" i="3"/>
  <c r="I53" i="3"/>
  <c r="F77" i="3"/>
  <c r="F51" i="3"/>
  <c r="I77" i="3"/>
  <c r="I51" i="3"/>
  <c r="F75" i="3"/>
  <c r="F49" i="3"/>
  <c r="I75" i="3"/>
  <c r="I49" i="3"/>
  <c r="F88" i="3"/>
  <c r="F62" i="3"/>
  <c r="I88" i="3"/>
  <c r="I62" i="3"/>
  <c r="F86" i="3"/>
  <c r="F60" i="3"/>
  <c r="I86" i="3"/>
  <c r="I60" i="3"/>
  <c r="F84" i="3"/>
  <c r="F58" i="3"/>
  <c r="I84" i="3"/>
  <c r="I58" i="3"/>
  <c r="F82" i="3"/>
  <c r="F56" i="3"/>
  <c r="I82" i="3"/>
  <c r="I56" i="3"/>
  <c r="F80" i="3"/>
  <c r="F54" i="3"/>
  <c r="I80" i="3"/>
  <c r="I54" i="3"/>
  <c r="F78" i="3"/>
  <c r="F52" i="3"/>
  <c r="I78" i="3"/>
  <c r="I52" i="3"/>
  <c r="F76" i="3"/>
  <c r="F50" i="3"/>
  <c r="I76" i="3"/>
  <c r="I50" i="3"/>
  <c r="O45" i="3"/>
  <c r="N45" i="3"/>
  <c r="G260" i="3" l="1"/>
  <c r="G113" i="3"/>
  <c r="G88" i="3"/>
  <c r="G286" i="3"/>
  <c r="G234" i="3"/>
  <c r="G417" i="3"/>
  <c r="G162" i="3"/>
  <c r="G208" i="3"/>
  <c r="G62" i="3"/>
  <c r="G312" i="3"/>
  <c r="G256" i="3"/>
  <c r="G109" i="3"/>
  <c r="G84" i="3"/>
  <c r="G282" i="3"/>
  <c r="G413" i="3"/>
  <c r="G204" i="3"/>
  <c r="G58" i="3"/>
  <c r="G230" i="3"/>
  <c r="G308" i="3"/>
  <c r="G158" i="3"/>
  <c r="G434" i="3"/>
  <c r="G369" i="3"/>
  <c r="G329" i="3"/>
  <c r="G252" i="3"/>
  <c r="G105" i="3"/>
  <c r="G80" i="3"/>
  <c r="G278" i="3"/>
  <c r="G226" i="3"/>
  <c r="G179" i="3"/>
  <c r="G154" i="3"/>
  <c r="G54" i="3"/>
  <c r="G133" i="3"/>
  <c r="G389" i="3"/>
  <c r="G304" i="3"/>
  <c r="G200" i="3"/>
  <c r="G409" i="3"/>
  <c r="G349" i="3"/>
  <c r="G430" i="3"/>
  <c r="G365" i="3"/>
  <c r="G325" i="3"/>
  <c r="G248" i="3"/>
  <c r="G101" i="3"/>
  <c r="G76" i="3"/>
  <c r="G274" i="3"/>
  <c r="G405" i="3"/>
  <c r="G129" i="3"/>
  <c r="G50" i="3"/>
  <c r="G385" i="3"/>
  <c r="G345" i="3"/>
  <c r="G175" i="3"/>
  <c r="G150" i="3"/>
  <c r="G222" i="3"/>
  <c r="G196" i="3"/>
  <c r="G300" i="3"/>
  <c r="G285" i="3"/>
  <c r="G311" i="3"/>
  <c r="G259" i="3"/>
  <c r="G112" i="3"/>
  <c r="G87" i="3"/>
  <c r="G61" i="3"/>
  <c r="G233" i="3"/>
  <c r="G416" i="3"/>
  <c r="G161" i="3"/>
  <c r="G207" i="3"/>
  <c r="G281" i="3"/>
  <c r="G182" i="3"/>
  <c r="G392" i="3"/>
  <c r="G352" i="3"/>
  <c r="G307" i="3"/>
  <c r="G83" i="3"/>
  <c r="G255" i="3"/>
  <c r="G412" i="3"/>
  <c r="G437" i="3"/>
  <c r="G229" i="3"/>
  <c r="G136" i="3"/>
  <c r="G108" i="3"/>
  <c r="G332" i="3"/>
  <c r="G157" i="3"/>
  <c r="G203" i="3"/>
  <c r="G57" i="3"/>
  <c r="G277" i="3"/>
  <c r="G178" i="3"/>
  <c r="G388" i="3"/>
  <c r="G348" i="3"/>
  <c r="G303" i="3"/>
  <c r="G328" i="3"/>
  <c r="G251" i="3"/>
  <c r="G199" i="3"/>
  <c r="G53" i="3"/>
  <c r="G368" i="3"/>
  <c r="G79" i="3"/>
  <c r="G408" i="3"/>
  <c r="G132" i="3"/>
  <c r="G104" i="3"/>
  <c r="G433" i="3"/>
  <c r="G225" i="3"/>
  <c r="G153" i="3"/>
  <c r="G273" i="3"/>
  <c r="G174" i="3"/>
  <c r="G384" i="3"/>
  <c r="G344" i="3"/>
  <c r="G299" i="3"/>
  <c r="G364" i="3"/>
  <c r="G149" i="3"/>
  <c r="G324" i="3"/>
  <c r="G75" i="3"/>
  <c r="G429" i="3"/>
  <c r="G221" i="3"/>
  <c r="G195" i="3"/>
  <c r="G49" i="3"/>
  <c r="G247" i="3"/>
  <c r="G404" i="3"/>
  <c r="G128" i="3"/>
  <c r="G100" i="3"/>
  <c r="G428" i="3"/>
  <c r="G403" i="3"/>
  <c r="G363" i="3"/>
  <c r="G323" i="3"/>
  <c r="G220" i="3"/>
  <c r="G148" i="3"/>
  <c r="G246" i="3"/>
  <c r="G194" i="3"/>
  <c r="G48" i="3"/>
  <c r="G99" i="3"/>
  <c r="G127" i="3"/>
  <c r="G173" i="3"/>
  <c r="G343" i="3"/>
  <c r="G272" i="3"/>
  <c r="G298" i="3"/>
  <c r="G74" i="3"/>
  <c r="G383" i="3"/>
  <c r="G414" i="3"/>
  <c r="G231" i="3"/>
  <c r="G159" i="3"/>
  <c r="G257" i="3"/>
  <c r="G309" i="3"/>
  <c r="G110" i="3"/>
  <c r="G283" i="3"/>
  <c r="G205" i="3"/>
  <c r="G59" i="3"/>
  <c r="G85" i="3"/>
  <c r="G410" i="3"/>
  <c r="G227" i="3"/>
  <c r="G155" i="3"/>
  <c r="G435" i="3"/>
  <c r="G370" i="3"/>
  <c r="G330" i="3"/>
  <c r="G253" i="3"/>
  <c r="G350" i="3"/>
  <c r="G134" i="3"/>
  <c r="G305" i="3"/>
  <c r="G201" i="3"/>
  <c r="G106" i="3"/>
  <c r="G81" i="3"/>
  <c r="G279" i="3"/>
  <c r="G180" i="3"/>
  <c r="G390" i="3"/>
  <c r="G55" i="3"/>
  <c r="G406" i="3"/>
  <c r="G223" i="3"/>
  <c r="G151" i="3"/>
  <c r="G431" i="3"/>
  <c r="G366" i="3"/>
  <c r="G326" i="3"/>
  <c r="G249" i="3"/>
  <c r="G386" i="3"/>
  <c r="G301" i="3"/>
  <c r="G102" i="3"/>
  <c r="G77" i="3"/>
  <c r="G176" i="3"/>
  <c r="G51" i="3"/>
  <c r="G130" i="3"/>
  <c r="G346" i="3"/>
  <c r="G275" i="3"/>
  <c r="G197" i="3"/>
  <c r="G310" i="3"/>
  <c r="G206" i="3"/>
  <c r="G60" i="3"/>
  <c r="G415" i="3"/>
  <c r="G232" i="3"/>
  <c r="G284" i="3"/>
  <c r="G160" i="3"/>
  <c r="G258" i="3"/>
  <c r="G111" i="3"/>
  <c r="G86" i="3"/>
  <c r="G391" i="3"/>
  <c r="G351" i="3"/>
  <c r="G306" i="3"/>
  <c r="G202" i="3"/>
  <c r="G135" i="3"/>
  <c r="G56" i="3"/>
  <c r="G411" i="3"/>
  <c r="G228" i="3"/>
  <c r="G436" i="3"/>
  <c r="G107" i="3"/>
  <c r="G82" i="3"/>
  <c r="G280" i="3"/>
  <c r="G371" i="3"/>
  <c r="G331" i="3"/>
  <c r="G254" i="3"/>
  <c r="G156" i="3"/>
  <c r="G181" i="3"/>
  <c r="G387" i="3"/>
  <c r="G347" i="3"/>
  <c r="G302" i="3"/>
  <c r="G198" i="3"/>
  <c r="G131" i="3"/>
  <c r="G52" i="3"/>
  <c r="G407" i="3"/>
  <c r="G224" i="3"/>
  <c r="G276" i="3"/>
  <c r="G103" i="3"/>
  <c r="G432" i="3"/>
  <c r="G152" i="3"/>
  <c r="G327" i="3"/>
  <c r="G367" i="3"/>
  <c r="G78" i="3"/>
  <c r="G250" i="3"/>
  <c r="G177" i="3"/>
  <c r="B7" i="1"/>
  <c r="C7" i="1" s="1"/>
  <c r="F4" i="1"/>
  <c r="P251" i="3"/>
  <c r="O151" i="3"/>
  <c r="N178" i="3"/>
  <c r="Q207" i="3"/>
  <c r="R234" i="3"/>
  <c r="R273" i="3"/>
  <c r="O224" i="3"/>
  <c r="S247" i="3"/>
  <c r="Q99" i="3"/>
  <c r="R255" i="3"/>
  <c r="O153" i="3"/>
  <c r="P181" i="3"/>
  <c r="Q251" i="3"/>
  <c r="Q227" i="3"/>
  <c r="O249" i="3"/>
  <c r="P75" i="3"/>
  <c r="P256" i="3"/>
  <c r="N276" i="3"/>
  <c r="N101" i="3"/>
  <c r="S178" i="3"/>
  <c r="P206" i="3"/>
  <c r="S134" i="3"/>
  <c r="O204" i="3"/>
  <c r="P233" i="3"/>
  <c r="O134" i="3"/>
  <c r="N108" i="3"/>
  <c r="R198" i="3"/>
  <c r="Q259" i="3"/>
  <c r="P78" i="3"/>
  <c r="Q206" i="3"/>
  <c r="P227" i="3"/>
  <c r="Q86" i="3"/>
  <c r="O227" i="3"/>
  <c r="Q248" i="3"/>
  <c r="Q76" i="3"/>
  <c r="N252" i="3"/>
  <c r="N152" i="3"/>
  <c r="P157" i="3"/>
  <c r="O208" i="3"/>
  <c r="R230" i="3"/>
  <c r="N275" i="3"/>
  <c r="R252" i="3"/>
  <c r="O159" i="3"/>
  <c r="N159" i="3"/>
  <c r="O281" i="3"/>
  <c r="O179" i="3"/>
  <c r="P177" i="3"/>
  <c r="R281" i="3"/>
  <c r="O195" i="3"/>
  <c r="Q246" i="3"/>
  <c r="P79" i="3"/>
  <c r="Q226" i="3"/>
  <c r="O247" i="3"/>
  <c r="R75" i="3"/>
  <c r="O152" i="3"/>
  <c r="S254" i="3"/>
  <c r="N78" i="3"/>
  <c r="N173" i="3"/>
  <c r="N225" i="3"/>
  <c r="Q157" i="3"/>
  <c r="P204" i="3"/>
  <c r="O232" i="3"/>
  <c r="N81" i="3"/>
  <c r="Q159" i="3"/>
  <c r="P224" i="3"/>
  <c r="S259" i="3"/>
  <c r="P246" i="3"/>
  <c r="N109" i="3"/>
  <c r="P150" i="3"/>
  <c r="O279" i="3"/>
  <c r="N203" i="3"/>
  <c r="N76" i="3"/>
  <c r="P228" i="3"/>
  <c r="R175" i="3"/>
  <c r="N62" i="3"/>
  <c r="R177" i="3"/>
  <c r="O272" i="3"/>
  <c r="O113" i="3"/>
  <c r="P194" i="3"/>
  <c r="P222" i="3"/>
  <c r="Q83" i="3"/>
  <c r="N54" i="3"/>
  <c r="R134" i="3"/>
  <c r="Q59" i="3"/>
  <c r="L18" i="3"/>
  <c r="S105" i="3"/>
  <c r="S276" i="3"/>
  <c r="S148" i="3"/>
  <c r="S82" i="3"/>
  <c r="Y83" i="3"/>
  <c r="R153" i="3"/>
  <c r="R205" i="3"/>
  <c r="N107" i="3"/>
  <c r="O196" i="3"/>
  <c r="Q148" i="3"/>
  <c r="P61" i="3"/>
  <c r="P106" i="3"/>
  <c r="O254" i="3"/>
  <c r="P178" i="3"/>
  <c r="O62" i="3"/>
  <c r="R130" i="3"/>
  <c r="S111" i="3"/>
  <c r="S161" i="3"/>
  <c r="R148" i="3"/>
  <c r="P149" i="3"/>
  <c r="N279" i="3"/>
  <c r="P258" i="3"/>
  <c r="O230" i="3"/>
  <c r="P281" i="3"/>
  <c r="R176" i="3"/>
  <c r="R277" i="3"/>
  <c r="Q81" i="3"/>
  <c r="R276" i="3"/>
  <c r="R249" i="3"/>
  <c r="O158" i="3"/>
  <c r="Q204" i="3"/>
  <c r="N129" i="3"/>
  <c r="N280" i="3"/>
  <c r="N136" i="3"/>
  <c r="Q220" i="3"/>
  <c r="O231" i="3"/>
  <c r="N246" i="3"/>
  <c r="N135" i="3"/>
  <c r="P101" i="3"/>
  <c r="N247" i="3"/>
  <c r="O149" i="3"/>
  <c r="N180" i="3"/>
  <c r="N132" i="3"/>
  <c r="O199" i="3"/>
  <c r="R228" i="3"/>
  <c r="P87" i="3"/>
  <c r="O225" i="3"/>
  <c r="R274" i="3"/>
  <c r="O104" i="3"/>
  <c r="S132" i="3"/>
  <c r="Q202" i="3"/>
  <c r="N230" i="3"/>
  <c r="O88" i="3"/>
  <c r="Q228" i="3"/>
  <c r="Q256" i="3"/>
  <c r="N75" i="3"/>
  <c r="P253" i="3"/>
  <c r="N160" i="3"/>
  <c r="Q160" i="3"/>
  <c r="R272" i="3"/>
  <c r="Q182" i="3"/>
  <c r="R178" i="3"/>
  <c r="S252" i="3"/>
  <c r="P82" i="3"/>
  <c r="P151" i="3"/>
  <c r="N198" i="3"/>
  <c r="S129" i="3"/>
  <c r="R248" i="3"/>
  <c r="O182" i="3"/>
  <c r="R207" i="3"/>
  <c r="P132" i="3"/>
  <c r="O202" i="3"/>
  <c r="P229" i="3"/>
  <c r="P74" i="3"/>
  <c r="Q221" i="3"/>
  <c r="P283" i="3"/>
  <c r="O110" i="3"/>
  <c r="N253" i="3"/>
  <c r="N150" i="3"/>
  <c r="N176" i="3"/>
  <c r="Q255" i="3"/>
  <c r="O222" i="3"/>
  <c r="R284" i="3"/>
  <c r="N111" i="3"/>
  <c r="R253" i="3"/>
  <c r="P160" i="3"/>
  <c r="O278" i="3"/>
  <c r="O176" i="3"/>
  <c r="N201" i="3"/>
  <c r="P128" i="3"/>
  <c r="Q201" i="3"/>
  <c r="N228" i="3"/>
  <c r="Q88" i="3"/>
  <c r="N104" i="3"/>
  <c r="P234" i="3"/>
  <c r="S248" i="3"/>
  <c r="O75" i="3"/>
  <c r="P134" i="3"/>
  <c r="N222" i="3"/>
  <c r="Q224" i="3"/>
  <c r="P111" i="3"/>
  <c r="S182" i="3"/>
  <c r="O275" i="3"/>
  <c r="P225" i="3"/>
  <c r="N250" i="3"/>
  <c r="Q152" i="3"/>
  <c r="Q176" i="3"/>
  <c r="P276" i="3"/>
  <c r="S255" i="3"/>
  <c r="O221" i="3"/>
  <c r="Q110" i="3"/>
  <c r="Q249" i="3"/>
  <c r="N162" i="3"/>
  <c r="R194" i="3"/>
  <c r="O61" i="3"/>
  <c r="R173" i="3"/>
  <c r="P226" i="3"/>
  <c r="N86" i="3"/>
  <c r="Q113" i="3"/>
  <c r="R202" i="3"/>
  <c r="P60" i="3"/>
  <c r="P58" i="3"/>
  <c r="N82" i="3"/>
  <c r="O51" i="3"/>
  <c r="L22" i="3"/>
  <c r="S110" i="3"/>
  <c r="S272" i="3"/>
  <c r="S151" i="3"/>
  <c r="S87" i="3"/>
  <c r="Y81" i="3"/>
  <c r="R162" i="3"/>
  <c r="O250" i="3"/>
  <c r="N251" i="3"/>
  <c r="Q208" i="3"/>
  <c r="R222" i="3"/>
  <c r="R208" i="3"/>
  <c r="N49" i="3"/>
  <c r="Q257" i="3"/>
  <c r="R181" i="3"/>
  <c r="O77" i="3"/>
  <c r="R132" i="3"/>
  <c r="L20" i="3"/>
  <c r="S274" i="3"/>
  <c r="S80" i="3"/>
  <c r="R159" i="3"/>
  <c r="O277" i="3"/>
  <c r="Q229" i="3"/>
  <c r="P156" i="3"/>
  <c r="Q254" i="3"/>
  <c r="N105" i="3"/>
  <c r="N112" i="3"/>
  <c r="N197" i="3"/>
  <c r="R220" i="3"/>
  <c r="N83" i="3"/>
  <c r="P158" i="3"/>
  <c r="R247" i="3"/>
  <c r="P200" i="3"/>
  <c r="N258" i="3"/>
  <c r="N103" i="3"/>
  <c r="N154" i="3"/>
  <c r="N128" i="3"/>
  <c r="O234" i="3"/>
  <c r="S251" i="3"/>
  <c r="N77" i="3"/>
  <c r="R257" i="3"/>
  <c r="P273" i="3"/>
  <c r="P103" i="3"/>
  <c r="O282" i="3"/>
  <c r="Q177" i="3"/>
  <c r="N174" i="3"/>
  <c r="O133" i="3"/>
  <c r="Q197" i="3"/>
  <c r="O255" i="3"/>
  <c r="Q80" i="3"/>
  <c r="S180" i="3"/>
  <c r="P175" i="3"/>
  <c r="N134" i="3"/>
  <c r="Q203" i="3"/>
  <c r="P196" i="3"/>
  <c r="R87" i="3"/>
  <c r="Q225" i="3"/>
  <c r="N286" i="3"/>
  <c r="Q108" i="3"/>
  <c r="N257" i="3"/>
  <c r="S135" i="3"/>
  <c r="Q102" i="3"/>
  <c r="R204" i="3"/>
  <c r="R279" i="3"/>
  <c r="Q107" i="3"/>
  <c r="Q150" i="3"/>
  <c r="S250" i="3"/>
  <c r="P259" i="3"/>
  <c r="O128" i="3"/>
  <c r="Q173" i="3"/>
  <c r="O285" i="3"/>
  <c r="Q180" i="3"/>
  <c r="R174" i="3"/>
  <c r="S128" i="3"/>
  <c r="Q196" i="3"/>
  <c r="P223" i="3"/>
  <c r="O84" i="3"/>
  <c r="Q222" i="3"/>
  <c r="O132" i="3"/>
  <c r="O100" i="3"/>
  <c r="R229" i="3"/>
  <c r="O197" i="3"/>
  <c r="R224" i="3"/>
  <c r="N85" i="3"/>
  <c r="O223" i="3"/>
  <c r="O251" i="3"/>
  <c r="N113" i="3"/>
  <c r="R250" i="3"/>
  <c r="Q153" i="3"/>
  <c r="O154" i="3"/>
  <c r="S179" i="3"/>
  <c r="P208" i="3"/>
  <c r="Q247" i="3"/>
  <c r="O79" i="3"/>
  <c r="R179" i="3"/>
  <c r="R233" i="3"/>
  <c r="N88" i="3"/>
  <c r="R256" i="3"/>
  <c r="P161" i="3"/>
  <c r="S177" i="3"/>
  <c r="P284" i="3"/>
  <c r="Q258" i="3"/>
  <c r="N272" i="3"/>
  <c r="Q194" i="3"/>
  <c r="P220" i="3"/>
  <c r="R81" i="3"/>
  <c r="R286" i="3"/>
  <c r="N248" i="3"/>
  <c r="N182" i="3"/>
  <c r="O177" i="3"/>
  <c r="N283" i="3"/>
  <c r="P174" i="3"/>
  <c r="R84" i="3"/>
  <c r="O85" i="3"/>
  <c r="R135" i="3"/>
  <c r="O99" i="3"/>
  <c r="R206" i="3"/>
  <c r="R225" i="3"/>
  <c r="P86" i="3"/>
  <c r="Q161" i="3"/>
  <c r="Q60" i="3"/>
  <c r="O58" i="3"/>
  <c r="Q49" i="3"/>
  <c r="L27" i="3"/>
  <c r="Q130" i="3"/>
  <c r="S103" i="3"/>
  <c r="S284" i="3"/>
  <c r="S156" i="3"/>
  <c r="S85" i="3"/>
  <c r="Y78" i="3"/>
  <c r="R149" i="3"/>
  <c r="R260" i="3"/>
  <c r="R226" i="3"/>
  <c r="R195" i="3"/>
  <c r="P85" i="3"/>
  <c r="N281" i="3"/>
  <c r="O258" i="3"/>
  <c r="P182" i="3"/>
  <c r="N80" i="3"/>
  <c r="N58" i="3"/>
  <c r="Q50" i="3"/>
  <c r="Q135" i="3"/>
  <c r="S282" i="3"/>
  <c r="S77" i="3"/>
  <c r="N254" i="3"/>
  <c r="O175" i="3"/>
  <c r="O253" i="3"/>
  <c r="P153" i="3"/>
  <c r="Q78" i="3"/>
  <c r="O286" i="3"/>
  <c r="Q174" i="3"/>
  <c r="N204" i="3"/>
  <c r="Q223" i="3"/>
  <c r="P105" i="3"/>
  <c r="P152" i="3"/>
  <c r="O135" i="3"/>
  <c r="N234" i="3"/>
  <c r="Q230" i="3"/>
  <c r="O108" i="3"/>
  <c r="O205" i="3"/>
  <c r="O130" i="3"/>
  <c r="O276" i="3"/>
  <c r="O174" i="3"/>
  <c r="R232" i="3"/>
  <c r="O74" i="3"/>
  <c r="Q232" i="3"/>
  <c r="S253" i="3"/>
  <c r="R79" i="3"/>
  <c r="R254" i="3"/>
  <c r="O155" i="3"/>
  <c r="O162" i="3"/>
  <c r="O283" i="3"/>
  <c r="S175" i="3"/>
  <c r="N195" i="3"/>
  <c r="P280" i="3"/>
  <c r="P255" i="3"/>
  <c r="S131" i="3"/>
  <c r="P148" i="3"/>
  <c r="S181" i="3"/>
  <c r="R182" i="3"/>
  <c r="P130" i="3"/>
  <c r="Q200" i="3"/>
  <c r="N226" i="3"/>
  <c r="Q82" i="3"/>
  <c r="O229" i="3"/>
  <c r="Q252" i="3"/>
  <c r="N79" i="3"/>
  <c r="Q158" i="3"/>
  <c r="O260" i="3"/>
  <c r="O81" i="3"/>
  <c r="O103" i="3"/>
  <c r="P230" i="3"/>
  <c r="Q231" i="3"/>
  <c r="P113" i="3"/>
  <c r="N255" i="3"/>
  <c r="N131" i="3"/>
  <c r="N148" i="3"/>
  <c r="R203" i="3"/>
  <c r="N130" i="3"/>
  <c r="N220" i="3"/>
  <c r="S249" i="3"/>
  <c r="P77" i="3"/>
  <c r="O280" i="3"/>
  <c r="O178" i="3"/>
  <c r="N205" i="3"/>
  <c r="S130" i="3"/>
  <c r="O198" i="3"/>
  <c r="N232" i="3"/>
  <c r="Q84" i="3"/>
  <c r="S246" i="3"/>
  <c r="R280" i="3"/>
  <c r="Q104" i="3"/>
  <c r="P254" i="3"/>
  <c r="P129" i="3"/>
  <c r="O173" i="3"/>
  <c r="P199" i="3"/>
  <c r="P274" i="3"/>
  <c r="Q103" i="3"/>
  <c r="N179" i="3"/>
  <c r="P286" i="3"/>
  <c r="O201" i="3"/>
  <c r="P83" i="3"/>
  <c r="N284" i="3"/>
  <c r="P249" i="3"/>
  <c r="N151" i="3"/>
  <c r="Q205" i="3"/>
  <c r="N87" i="3"/>
  <c r="N156" i="3"/>
  <c r="N207" i="3"/>
  <c r="Q233" i="3"/>
  <c r="O76" i="3"/>
  <c r="R282" i="3"/>
  <c r="P180" i="3"/>
  <c r="N99" i="3"/>
  <c r="R246" i="3"/>
  <c r="N53" i="3"/>
  <c r="P232" i="3"/>
  <c r="O87" i="3"/>
  <c r="N194" i="3"/>
  <c r="N206" i="3"/>
  <c r="R283" i="3"/>
  <c r="N110" i="3"/>
  <c r="Q54" i="3"/>
  <c r="O53" i="3"/>
  <c r="Q51" i="3"/>
  <c r="L29" i="3"/>
  <c r="Q133" i="3"/>
  <c r="S102" i="3"/>
  <c r="S280" i="3"/>
  <c r="S149" i="3"/>
  <c r="Y87" i="3"/>
  <c r="R158" i="3"/>
  <c r="O129" i="3"/>
  <c r="P279" i="3"/>
  <c r="P81" i="3"/>
  <c r="R74" i="3"/>
  <c r="N100" i="3"/>
  <c r="N153" i="3"/>
  <c r="N202" i="3"/>
  <c r="Q79" i="3"/>
  <c r="Q253" i="3"/>
  <c r="P56" i="3"/>
  <c r="Q61" i="3"/>
  <c r="S112" i="3"/>
  <c r="S157" i="3"/>
  <c r="Y80" i="3"/>
  <c r="P154" i="3"/>
  <c r="N199" i="3"/>
  <c r="R77" i="3"/>
  <c r="S260" i="3"/>
  <c r="N259" i="3"/>
  <c r="Q181" i="3"/>
  <c r="R197" i="3"/>
  <c r="N223" i="3"/>
  <c r="S176" i="3"/>
  <c r="S133" i="3"/>
  <c r="O259" i="3"/>
  <c r="P257" i="3"/>
  <c r="O102" i="3"/>
  <c r="Q178" i="3"/>
  <c r="R285" i="3"/>
  <c r="N274" i="3"/>
  <c r="P248" i="3"/>
  <c r="P221" i="3"/>
  <c r="N256" i="3"/>
  <c r="O194" i="3"/>
  <c r="Q151" i="3"/>
  <c r="S256" i="3"/>
  <c r="P162" i="3"/>
  <c r="R275" i="3"/>
  <c r="N51" i="3"/>
  <c r="R128" i="3"/>
  <c r="Q77" i="3"/>
  <c r="N177" i="3"/>
  <c r="N231" i="3"/>
  <c r="N74" i="3"/>
  <c r="P173" i="3"/>
  <c r="N61" i="3"/>
  <c r="O56" i="3"/>
  <c r="N50" i="3"/>
  <c r="L25" i="3"/>
  <c r="Q131" i="3"/>
  <c r="S109" i="3"/>
  <c r="S285" i="3"/>
  <c r="S154" i="3"/>
  <c r="S86" i="3"/>
  <c r="Y84" i="3"/>
  <c r="O284" i="3"/>
  <c r="P202" i="3"/>
  <c r="Q155" i="3"/>
  <c r="O274" i="3"/>
  <c r="P198" i="3"/>
  <c r="O233" i="3"/>
  <c r="Q195" i="3"/>
  <c r="P275" i="3"/>
  <c r="Q156" i="3"/>
  <c r="Q87" i="3"/>
  <c r="P51" i="3"/>
  <c r="N277" i="3"/>
  <c r="Q105" i="3"/>
  <c r="Q58" i="3"/>
  <c r="P112" i="3"/>
  <c r="L24" i="3"/>
  <c r="S286" i="3"/>
  <c r="S79" i="3"/>
  <c r="R151" i="3"/>
  <c r="O80" i="3"/>
  <c r="P272" i="3"/>
  <c r="O200" i="3"/>
  <c r="Q149" i="3"/>
  <c r="R201" i="3"/>
  <c r="Q112" i="3"/>
  <c r="N175" i="3"/>
  <c r="O256" i="3"/>
  <c r="P282" i="3"/>
  <c r="P80" i="3"/>
  <c r="L21" i="3"/>
  <c r="S88" i="3"/>
  <c r="O83" i="3"/>
  <c r="S283" i="3"/>
  <c r="R200" i="3"/>
  <c r="S278" i="3"/>
  <c r="P57" i="3"/>
  <c r="Q109" i="3"/>
  <c r="Q75" i="3"/>
  <c r="S150" i="3"/>
  <c r="O246" i="3"/>
  <c r="Q154" i="3"/>
  <c r="Q129" i="3"/>
  <c r="R54" i="3"/>
  <c r="R61" i="3"/>
  <c r="S58" i="3"/>
  <c r="R49" i="3"/>
  <c r="R57" i="3"/>
  <c r="S61" i="3"/>
  <c r="R55" i="3"/>
  <c r="S207" i="3"/>
  <c r="S201" i="3"/>
  <c r="S203" i="3"/>
  <c r="S202" i="3"/>
  <c r="S231" i="3"/>
  <c r="S234" i="3"/>
  <c r="S223" i="3"/>
  <c r="S226" i="3"/>
  <c r="S224" i="3"/>
  <c r="S230" i="3"/>
  <c r="N155" i="3"/>
  <c r="O203" i="3"/>
  <c r="R85" i="3"/>
  <c r="S257" i="3"/>
  <c r="O148" i="3"/>
  <c r="P84" i="3"/>
  <c r="O220" i="3"/>
  <c r="P49" i="3"/>
  <c r="R196" i="3"/>
  <c r="N133" i="3"/>
  <c r="O101" i="3"/>
  <c r="P176" i="3"/>
  <c r="O248" i="3"/>
  <c r="P99" i="3"/>
  <c r="N55" i="3"/>
  <c r="R131" i="3"/>
  <c r="P53" i="3"/>
  <c r="L28" i="3"/>
  <c r="Q128" i="3"/>
  <c r="S106" i="3"/>
  <c r="S281" i="3"/>
  <c r="Y75" i="3"/>
  <c r="R154" i="3"/>
  <c r="O226" i="3"/>
  <c r="P109" i="3"/>
  <c r="N224" i="3"/>
  <c r="N260" i="3"/>
  <c r="O106" i="3"/>
  <c r="O181" i="3"/>
  <c r="Q175" i="3"/>
  <c r="O157" i="3"/>
  <c r="Q100" i="3"/>
  <c r="N227" i="3"/>
  <c r="O111" i="3"/>
  <c r="O55" i="3"/>
  <c r="N196" i="3"/>
  <c r="O136" i="3"/>
  <c r="P62" i="3"/>
  <c r="Q52" i="3"/>
  <c r="Q136" i="3"/>
  <c r="S155" i="3"/>
  <c r="Y79" i="3"/>
  <c r="O131" i="3"/>
  <c r="P260" i="3"/>
  <c r="O180" i="3"/>
  <c r="Q260" i="3"/>
  <c r="R180" i="3"/>
  <c r="P131" i="3"/>
  <c r="R259" i="3"/>
  <c r="N285" i="3"/>
  <c r="P205" i="3"/>
  <c r="O109" i="3"/>
  <c r="Q53" i="3"/>
  <c r="S113" i="3"/>
  <c r="Y76" i="3"/>
  <c r="R161" i="3"/>
  <c r="P59" i="3"/>
  <c r="S153" i="3"/>
  <c r="N106" i="3"/>
  <c r="S81" i="3"/>
  <c r="O161" i="3"/>
  <c r="P197" i="3"/>
  <c r="O49" i="3"/>
  <c r="Y82" i="3"/>
  <c r="O156" i="3"/>
  <c r="S84" i="3"/>
  <c r="P278" i="3"/>
  <c r="S158" i="3"/>
  <c r="S52" i="3"/>
  <c r="R51" i="3"/>
  <c r="R59" i="3"/>
  <c r="S57" i="3"/>
  <c r="R58" i="3"/>
  <c r="S59" i="3"/>
  <c r="S54" i="3"/>
  <c r="S208" i="3"/>
  <c r="S199" i="3"/>
  <c r="S197" i="3"/>
  <c r="S206" i="3"/>
  <c r="S232" i="3"/>
  <c r="S221" i="3"/>
  <c r="S222" i="3"/>
  <c r="S220" i="3"/>
  <c r="S229" i="3"/>
  <c r="S233" i="3"/>
  <c r="O78" i="3"/>
  <c r="P133" i="3"/>
  <c r="N249" i="3"/>
  <c r="O150" i="3"/>
  <c r="Q85" i="3"/>
  <c r="P203" i="3"/>
  <c r="N181" i="3"/>
  <c r="N60" i="3"/>
  <c r="N149" i="3"/>
  <c r="O252" i="3"/>
  <c r="P76" i="3"/>
  <c r="Q101" i="3"/>
  <c r="R227" i="3"/>
  <c r="R86" i="3"/>
  <c r="Q55" i="3"/>
  <c r="P104" i="3"/>
  <c r="O57" i="3"/>
  <c r="L26" i="3"/>
  <c r="S107" i="3"/>
  <c r="S277" i="3"/>
  <c r="S162" i="3"/>
  <c r="S83" i="3"/>
  <c r="Y86" i="3"/>
  <c r="R160" i="3"/>
  <c r="Q179" i="3"/>
  <c r="P252" i="3"/>
  <c r="Q162" i="3"/>
  <c r="O207" i="3"/>
  <c r="P135" i="3"/>
  <c r="P285" i="3"/>
  <c r="R199" i="3"/>
  <c r="N161" i="3"/>
  <c r="R251" i="3"/>
  <c r="R88" i="3"/>
  <c r="N200" i="3"/>
  <c r="P155" i="3"/>
  <c r="O105" i="3"/>
  <c r="N233" i="3"/>
  <c r="Q56" i="3"/>
  <c r="O52" i="3"/>
  <c r="S152" i="3"/>
  <c r="Y88" i="3"/>
  <c r="Q198" i="3"/>
  <c r="R278" i="3"/>
  <c r="P179" i="3"/>
  <c r="R83" i="3"/>
  <c r="O273" i="3"/>
  <c r="O228" i="3"/>
  <c r="P277" i="3"/>
  <c r="Q111" i="3"/>
  <c r="Q62" i="3"/>
  <c r="O160" i="3"/>
  <c r="R129" i="3"/>
  <c r="S275" i="3"/>
  <c r="R152" i="3"/>
  <c r="R133" i="3"/>
  <c r="P52" i="3"/>
  <c r="R156" i="3"/>
  <c r="O60" i="3"/>
  <c r="R157" i="3"/>
  <c r="N221" i="3"/>
  <c r="N59" i="3"/>
  <c r="L17" i="3"/>
  <c r="R78" i="3"/>
  <c r="O54" i="3"/>
  <c r="P55" i="3"/>
  <c r="N52" i="3"/>
  <c r="Y77" i="3"/>
  <c r="R62" i="3"/>
  <c r="R52" i="3"/>
  <c r="S62" i="3"/>
  <c r="R60" i="3"/>
  <c r="S53" i="3"/>
  <c r="S55" i="3"/>
  <c r="S198" i="3"/>
  <c r="S204" i="3"/>
  <c r="S205" i="3"/>
  <c r="S228" i="3"/>
  <c r="S136" i="3"/>
  <c r="P231" i="3"/>
  <c r="Q234" i="3"/>
  <c r="O82" i="3"/>
  <c r="R223" i="3"/>
  <c r="O107" i="3"/>
  <c r="P100" i="3"/>
  <c r="O59" i="3"/>
  <c r="P102" i="3"/>
  <c r="R231" i="3"/>
  <c r="Q74" i="3"/>
  <c r="R76" i="3"/>
  <c r="N208" i="3"/>
  <c r="Q57" i="3"/>
  <c r="N56" i="3"/>
  <c r="P88" i="3"/>
  <c r="R136" i="3"/>
  <c r="Q132" i="3"/>
  <c r="S273" i="3"/>
  <c r="S159" i="3"/>
  <c r="Y85" i="3"/>
  <c r="R155" i="3"/>
  <c r="N282" i="3"/>
  <c r="Q199" i="3"/>
  <c r="O86" i="3"/>
  <c r="N278" i="3"/>
  <c r="P250" i="3"/>
  <c r="O112" i="3"/>
  <c r="N273" i="3"/>
  <c r="R258" i="3"/>
  <c r="N158" i="3"/>
  <c r="N229" i="3"/>
  <c r="P108" i="3"/>
  <c r="R80" i="3"/>
  <c r="P195" i="3"/>
  <c r="N102" i="3"/>
  <c r="O50" i="3"/>
  <c r="L30" i="3"/>
  <c r="S104" i="3"/>
  <c r="S78" i="3"/>
  <c r="R150" i="3"/>
  <c r="O257" i="3"/>
  <c r="P107" i="3"/>
  <c r="P136" i="3"/>
  <c r="P247" i="3"/>
  <c r="O206" i="3"/>
  <c r="Q250" i="3"/>
  <c r="Q106" i="3"/>
  <c r="N157" i="3"/>
  <c r="P207" i="3"/>
  <c r="S258" i="3"/>
  <c r="P50" i="3"/>
  <c r="S160" i="3"/>
  <c r="S279" i="3"/>
  <c r="P201" i="3"/>
  <c r="Q134" i="3"/>
  <c r="R221" i="3"/>
  <c r="L19" i="3"/>
  <c r="P159" i="3"/>
  <c r="R82" i="3"/>
  <c r="N57" i="3"/>
  <c r="S108" i="3"/>
  <c r="P110" i="3"/>
  <c r="L23" i="3"/>
  <c r="N84" i="3"/>
  <c r="P54" i="3"/>
  <c r="R56" i="3"/>
  <c r="R50" i="3"/>
  <c r="S51" i="3"/>
  <c r="L16" i="3"/>
  <c r="S60" i="3"/>
  <c r="R53" i="3"/>
  <c r="S56" i="3"/>
  <c r="S196" i="3"/>
  <c r="S200" i="3"/>
  <c r="S227" i="3"/>
  <c r="S225" i="3"/>
  <c r="Q283" i="3"/>
  <c r="Q282" i="3"/>
  <c r="Q284" i="3"/>
  <c r="Q277" i="3"/>
  <c r="Q281" i="3"/>
  <c r="Q280" i="3"/>
  <c r="Q276" i="3"/>
  <c r="Q286" i="3"/>
  <c r="Q272" i="3"/>
  <c r="Q275" i="3"/>
  <c r="Q279" i="3"/>
  <c r="Q278" i="3"/>
  <c r="Q274" i="3"/>
  <c r="Q273" i="3"/>
  <c r="Q285" i="3"/>
  <c r="M16" i="3" l="1"/>
  <c r="M17" i="3"/>
  <c r="M18" i="3"/>
  <c r="N18" i="3"/>
  <c r="B17" i="1"/>
  <c r="C17" i="1" s="1"/>
  <c r="B18" i="1"/>
  <c r="C18" i="1" s="1"/>
  <c r="B19" i="1"/>
  <c r="C19" i="1" s="1"/>
  <c r="B20" i="1"/>
  <c r="C20" i="1" s="1"/>
  <c r="B21" i="1"/>
  <c r="C21" i="1" s="1"/>
  <c r="I6" i="2"/>
  <c r="L6" i="2"/>
  <c r="N16" i="3" l="1"/>
  <c r="P16" i="3" s="1"/>
  <c r="N17" i="3"/>
  <c r="O17" i="3" s="1"/>
  <c r="N20" i="3" s="1"/>
  <c r="P18" i="3" s="1"/>
  <c r="M20" i="3"/>
  <c r="O18" i="3"/>
  <c r="P17" i="3"/>
  <c r="M22" i="2"/>
  <c r="J22" i="2"/>
  <c r="H22" i="2"/>
  <c r="G22" i="2"/>
  <c r="M21" i="2"/>
  <c r="J21" i="2"/>
  <c r="H21" i="2"/>
  <c r="G21" i="2"/>
  <c r="M20" i="2"/>
  <c r="J20" i="2"/>
  <c r="H20" i="2"/>
  <c r="G20" i="2"/>
  <c r="M19" i="2"/>
  <c r="J19" i="2"/>
  <c r="H19" i="2"/>
  <c r="G19" i="2"/>
  <c r="M18" i="2"/>
  <c r="J18" i="2"/>
  <c r="H18" i="2"/>
  <c r="G18" i="2"/>
  <c r="O15" i="2"/>
  <c r="I15" i="2"/>
  <c r="F15" i="2"/>
  <c r="O14" i="2"/>
  <c r="I14" i="2"/>
  <c r="I22" i="2" s="1"/>
  <c r="F14" i="2"/>
  <c r="F22" i="2" s="1"/>
  <c r="O13" i="2"/>
  <c r="I13" i="2"/>
  <c r="F13" i="2"/>
  <c r="O12" i="2"/>
  <c r="I12" i="2"/>
  <c r="I21" i="2" s="1"/>
  <c r="F12" i="2"/>
  <c r="F21" i="2" s="1"/>
  <c r="O11" i="2"/>
  <c r="I11" i="2"/>
  <c r="F11" i="2"/>
  <c r="O10" i="2"/>
  <c r="I10" i="2"/>
  <c r="I20" i="2" s="1"/>
  <c r="F10" i="2"/>
  <c r="F20" i="2" s="1"/>
  <c r="O9" i="2"/>
  <c r="I9" i="2"/>
  <c r="F9" i="2"/>
  <c r="O8" i="2"/>
  <c r="I8" i="2"/>
  <c r="I19" i="2" s="1"/>
  <c r="F8" i="2"/>
  <c r="F19" i="2" s="1"/>
  <c r="O7" i="2"/>
  <c r="I7" i="2"/>
  <c r="F7" i="2"/>
  <c r="L18" i="2"/>
  <c r="K6" i="2"/>
  <c r="K18" i="2" s="1"/>
  <c r="I18" i="2"/>
  <c r="F6" i="2"/>
  <c r="F18" i="2" s="1"/>
  <c r="M7" i="1"/>
  <c r="L8" i="1"/>
  <c r="L9" i="1" s="1"/>
  <c r="L10" i="1" s="1"/>
  <c r="L11" i="1" s="1"/>
  <c r="L12" i="1" s="1"/>
  <c r="L13" i="1" s="1"/>
  <c r="L14" i="1" s="1"/>
  <c r="L15" i="1" s="1"/>
  <c r="L16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O16" i="3" l="1"/>
  <c r="O20" i="3"/>
  <c r="N19" i="3"/>
  <c r="O19" i="3" s="1"/>
  <c r="M19" i="3"/>
  <c r="N23" i="3"/>
  <c r="O23" i="3" s="1"/>
  <c r="M23" i="3"/>
  <c r="N21" i="3"/>
  <c r="O21" i="3" s="1"/>
  <c r="M21" i="3"/>
  <c r="K7" i="2"/>
  <c r="K8" i="2" s="1"/>
  <c r="L7" i="2"/>
  <c r="L8" i="2" s="1"/>
  <c r="M8" i="1"/>
  <c r="M16" i="1"/>
  <c r="M9" i="1"/>
  <c r="M11" i="1"/>
  <c r="M10" i="1"/>
  <c r="M22" i="3" l="1"/>
  <c r="N22" i="3"/>
  <c r="M26" i="3"/>
  <c r="N26" i="3"/>
  <c r="O26" i="3" s="1"/>
  <c r="M24" i="3"/>
  <c r="N24" i="3"/>
  <c r="D18" i="1"/>
  <c r="E18" i="1"/>
  <c r="F18" i="1" s="1"/>
  <c r="E19" i="1"/>
  <c r="F19" i="1" s="1"/>
  <c r="D19" i="1"/>
  <c r="D20" i="1"/>
  <c r="E20" i="1"/>
  <c r="F20" i="1" s="1"/>
  <c r="E21" i="1"/>
  <c r="F21" i="1" s="1"/>
  <c r="D21" i="1"/>
  <c r="E17" i="1"/>
  <c r="F17" i="1" s="1"/>
  <c r="D17" i="1"/>
  <c r="L19" i="2"/>
  <c r="L9" i="2"/>
  <c r="L10" i="2" s="1"/>
  <c r="K19" i="2"/>
  <c r="K9" i="2"/>
  <c r="K10" i="2" s="1"/>
  <c r="M12" i="1"/>
  <c r="E12" i="1"/>
  <c r="F12" i="1" s="1"/>
  <c r="D12" i="1"/>
  <c r="E16" i="1"/>
  <c r="F16" i="1" s="1"/>
  <c r="D16" i="1"/>
  <c r="E11" i="1"/>
  <c r="D11" i="1"/>
  <c r="E15" i="1"/>
  <c r="D15" i="1"/>
  <c r="E8" i="1"/>
  <c r="F8" i="1" s="1"/>
  <c r="D8" i="1"/>
  <c r="E10" i="1"/>
  <c r="F10" i="1" s="1"/>
  <c r="D10" i="1"/>
  <c r="E14" i="1"/>
  <c r="F14" i="1" s="1"/>
  <c r="D14" i="1"/>
  <c r="E9" i="1"/>
  <c r="D9" i="1"/>
  <c r="E13" i="1"/>
  <c r="D13" i="1"/>
  <c r="E7" i="1"/>
  <c r="F7" i="1" s="1"/>
  <c r="D7" i="1"/>
  <c r="P19" i="3" l="1"/>
  <c r="O22" i="3"/>
  <c r="M29" i="3"/>
  <c r="N29" i="3"/>
  <c r="O29" i="3" s="1"/>
  <c r="P20" i="3"/>
  <c r="O24" i="3"/>
  <c r="K20" i="2"/>
  <c r="K11" i="2"/>
  <c r="K12" i="2" s="1"/>
  <c r="L20" i="2"/>
  <c r="L11" i="2"/>
  <c r="L12" i="2" s="1"/>
  <c r="G7" i="1"/>
  <c r="F13" i="1"/>
  <c r="G10" i="1"/>
  <c r="F9" i="1"/>
  <c r="G8" i="1"/>
  <c r="F15" i="1"/>
  <c r="G11" i="1"/>
  <c r="F11" i="1"/>
  <c r="G9" i="1"/>
  <c r="M13" i="1"/>
  <c r="N25" i="3" l="1"/>
  <c r="O25" i="3" s="1"/>
  <c r="M25" i="3"/>
  <c r="N27" i="3"/>
  <c r="O27" i="3" s="1"/>
  <c r="M27" i="3"/>
  <c r="L21" i="2"/>
  <c r="L13" i="2"/>
  <c r="L14" i="2" s="1"/>
  <c r="K21" i="2"/>
  <c r="K13" i="2"/>
  <c r="K14" i="2" s="1"/>
  <c r="M15" i="1"/>
  <c r="M14" i="1"/>
  <c r="M28" i="3" l="1"/>
  <c r="N28" i="3"/>
  <c r="O28" i="3" s="1"/>
  <c r="M30" i="3"/>
  <c r="N30" i="3"/>
  <c r="O30" i="3" s="1"/>
  <c r="K22" i="2"/>
  <c r="K15" i="2"/>
  <c r="L22" i="2"/>
  <c r="L15" i="2"/>
</calcChain>
</file>

<file path=xl/sharedStrings.xml><?xml version="1.0" encoding="utf-8"?>
<sst xmlns="http://schemas.openxmlformats.org/spreadsheetml/2006/main" count="5094" uniqueCount="262">
  <si>
    <t>Coefficient</t>
  </si>
  <si>
    <t>Exp rate</t>
  </si>
  <si>
    <t>Init Value</t>
  </si>
  <si>
    <t>Interval</t>
  </si>
  <si>
    <t>X</t>
  </si>
  <si>
    <t>value</t>
  </si>
  <si>
    <t>Input</t>
  </si>
  <si>
    <t>Crop Production</t>
  </si>
  <si>
    <t>Rounded(0)</t>
  </si>
  <si>
    <t>Rounded(-1)</t>
  </si>
  <si>
    <t>Wood Production</t>
  </si>
  <si>
    <t>Farm(crop)</t>
  </si>
  <si>
    <t>Farm(wood)</t>
  </si>
  <si>
    <t>Lumbermill(crop)</t>
  </si>
  <si>
    <t>Lumbermill(wood)</t>
  </si>
  <si>
    <t>Foundry(crop)</t>
  </si>
  <si>
    <t>Foundry(wood)</t>
  </si>
  <si>
    <t>Barrack(crop)</t>
  </si>
  <si>
    <t>Stable(crop)</t>
  </si>
  <si>
    <t>Stable(wood)</t>
  </si>
  <si>
    <t>Barrack(wood)</t>
  </si>
  <si>
    <t>Workshop(crop)</t>
  </si>
  <si>
    <t>Workshop(wood)</t>
  </si>
  <si>
    <t>Armory(crop)</t>
  </si>
  <si>
    <t>Armory(wood)</t>
  </si>
  <si>
    <t>Towers(crop)</t>
  </si>
  <si>
    <t>Towers(wood)</t>
  </si>
  <si>
    <t>Market(crop)</t>
  </si>
  <si>
    <t>Market(wood)</t>
  </si>
  <si>
    <t>Time in Min</t>
  </si>
  <si>
    <t>build Time</t>
  </si>
  <si>
    <t>Town(crop)</t>
  </si>
  <si>
    <t>Town(wood)</t>
  </si>
  <si>
    <t>Blacksmith(crop)</t>
  </si>
  <si>
    <t>Blacksmith(woot)</t>
  </si>
  <si>
    <t>Basement(crop)</t>
  </si>
  <si>
    <t>Basement(wood)</t>
  </si>
  <si>
    <t>up to 1100</t>
  </si>
  <si>
    <t>Basement(protect wood+crop)</t>
  </si>
  <si>
    <t>Basement(protect gold)</t>
  </si>
  <si>
    <t>Basement(protect iron)</t>
  </si>
  <si>
    <t>Basement(time)</t>
  </si>
  <si>
    <t>Farm/lumber</t>
  </si>
  <si>
    <t>barrack</t>
  </si>
  <si>
    <t>tower = barrack2</t>
  </si>
  <si>
    <t>basement =lumber2</t>
  </si>
  <si>
    <t>University</t>
  </si>
  <si>
    <t>Foundry</t>
  </si>
  <si>
    <t>Armory</t>
  </si>
  <si>
    <t>Trading Post</t>
  </si>
  <si>
    <t>Market</t>
  </si>
  <si>
    <t>Blacksmith</t>
  </si>
  <si>
    <t>workshop</t>
  </si>
  <si>
    <t>canon tower</t>
  </si>
  <si>
    <t>Stable(before market</t>
  </si>
  <si>
    <t>Lvl2 barrack</t>
  </si>
  <si>
    <t>&lt;320</t>
  </si>
  <si>
    <t>&lt;210</t>
  </si>
  <si>
    <t>&lt;880</t>
  </si>
  <si>
    <t>&lt;2400</t>
  </si>
  <si>
    <t>&lt;520</t>
  </si>
  <si>
    <t>University(crop)</t>
  </si>
  <si>
    <t>University(wood)</t>
  </si>
  <si>
    <t>Trading Post(crop)</t>
  </si>
  <si>
    <t>Trading Post(wood)</t>
  </si>
  <si>
    <t>&lt;1200</t>
  </si>
  <si>
    <t>lvl2  lumbermill</t>
  </si>
  <si>
    <t>Max</t>
  </si>
  <si>
    <t>&lt;200</t>
  </si>
  <si>
    <t>Time</t>
  </si>
  <si>
    <t xml:space="preserve">Time </t>
  </si>
  <si>
    <t>5:00</t>
  </si>
  <si>
    <t>22:30</t>
  </si>
  <si>
    <t>1:07:30</t>
  </si>
  <si>
    <t>3:22:30</t>
  </si>
  <si>
    <t>6:45:00</t>
  </si>
  <si>
    <t>13:30:00</t>
  </si>
  <si>
    <t>20:15:00</t>
  </si>
  <si>
    <t>30:22:30</t>
  </si>
  <si>
    <t>45:33:45</t>
  </si>
  <si>
    <t>68:20:38</t>
  </si>
  <si>
    <t>Base</t>
  </si>
  <si>
    <t>End Value</t>
  </si>
  <si>
    <t>4.5/3/2//1.5/1.3</t>
  </si>
  <si>
    <t>Time in 5</t>
  </si>
  <si>
    <t>iron production</t>
  </si>
  <si>
    <t>training ground</t>
  </si>
  <si>
    <t>tower = training ground</t>
  </si>
  <si>
    <t xml:space="preserve">Stable(before market) </t>
  </si>
  <si>
    <t>Armory, training-&gt;barrack</t>
  </si>
  <si>
    <t>//copy bonus here</t>
  </si>
  <si>
    <t>Template</t>
  </si>
  <si>
    <t>Starting Lvl Bonus</t>
  </si>
  <si>
    <t>Hp</t>
  </si>
  <si>
    <t>Atk</t>
  </si>
  <si>
    <t>Matk</t>
  </si>
  <si>
    <t>Def</t>
  </si>
  <si>
    <t>Radius</t>
  </si>
  <si>
    <t>Stl</t>
  </si>
  <si>
    <t>Rng</t>
  </si>
  <si>
    <t>Spd</t>
  </si>
  <si>
    <t>Bonus</t>
  </si>
  <si>
    <t>lvl 1</t>
  </si>
  <si>
    <t>lvl 2</t>
  </si>
  <si>
    <t>lvl 3</t>
  </si>
  <si>
    <t>lvl 4</t>
  </si>
  <si>
    <t>lvl 5</t>
  </si>
  <si>
    <t>lvl 6</t>
  </si>
  <si>
    <t>lvl 7</t>
  </si>
  <si>
    <t>lvl 8</t>
  </si>
  <si>
    <t>lvl 9</t>
  </si>
  <si>
    <t>lvl 10</t>
  </si>
  <si>
    <t>5 lvls</t>
  </si>
  <si>
    <t>Highdef</t>
  </si>
  <si>
    <t>Military Building</t>
  </si>
  <si>
    <t>High Stealth</t>
  </si>
  <si>
    <t>Production</t>
  </si>
  <si>
    <t>Mid</t>
  </si>
  <si>
    <t>Commercial</t>
  </si>
  <si>
    <t>High HP</t>
  </si>
  <si>
    <t>Main</t>
  </si>
  <si>
    <t>Tower</t>
  </si>
  <si>
    <t>Basement</t>
  </si>
  <si>
    <t>Special(basement)</t>
  </si>
  <si>
    <t>Special(Cannon Tower,Tower)</t>
  </si>
  <si>
    <t>// copy this to the top, and copy bonus to the starting lvl bonus</t>
  </si>
  <si>
    <t>Trading Post,Market</t>
  </si>
  <si>
    <t>Name</t>
  </si>
  <si>
    <t>Type</t>
  </si>
  <si>
    <t>Lvl</t>
  </si>
  <si>
    <t>Class</t>
  </si>
  <si>
    <t>SpriteClass</t>
  </si>
  <si>
    <t>Gold</t>
  </si>
  <si>
    <t>Crop</t>
  </si>
  <si>
    <t>Wood</t>
  </si>
  <si>
    <t>Iron</t>
  </si>
  <si>
    <t>Labor</t>
  </si>
  <si>
    <t>Worker</t>
  </si>
  <si>
    <t>Weapon</t>
  </si>
  <si>
    <t>WpnClass</t>
  </si>
  <si>
    <t>Armor</t>
  </si>
  <si>
    <t>ArmrClass</t>
  </si>
  <si>
    <t>MaxLabor</t>
  </si>
  <si>
    <t>TOWNCENTER</t>
  </si>
  <si>
    <t>STRUCTURE</t>
  </si>
  <si>
    <t>DEFAULT_BUILDING_ANIM</t>
  </si>
  <si>
    <t>Barricade</t>
  </si>
  <si>
    <t>Basic</t>
  </si>
  <si>
    <t>Building</t>
  </si>
  <si>
    <t>Stone</t>
  </si>
  <si>
    <t>TOWNCENTER_STRUCTURE</t>
  </si>
  <si>
    <t>FARM</t>
  </si>
  <si>
    <t>FARM_STRUCTURE</t>
  </si>
  <si>
    <t>LUMBERMILL</t>
  </si>
  <si>
    <t>LUMBERMILL_STRUCTURE</t>
  </si>
  <si>
    <t>FORESTCAMP</t>
  </si>
  <si>
    <t>FOREST_CAMP_STRUCTURE</t>
  </si>
  <si>
    <t>FOUNDRY</t>
  </si>
  <si>
    <t>FOUNDRY_STRUCTURE</t>
  </si>
  <si>
    <t>REFINERY</t>
  </si>
  <si>
    <t>REFINERY_STRUCTURE</t>
  </si>
  <si>
    <t>BASEMENT</t>
  </si>
  <si>
    <t>BASEMENT_STRUCTURE</t>
  </si>
  <si>
    <t>TRAINING_GROUND</t>
  </si>
  <si>
    <t>TRAINING_GROUND_STRUCTURE</t>
  </si>
  <si>
    <t>BARRACK</t>
  </si>
  <si>
    <t>BARRACK_STRUCTURE</t>
  </si>
  <si>
    <t>STABLE</t>
  </si>
  <si>
    <t>STABLE_STRUCTURE</t>
  </si>
  <si>
    <t>WORKSHOP</t>
  </si>
  <si>
    <t>WORKSHOP_STRUCTURE</t>
  </si>
  <si>
    <t>UNIVERSITY</t>
  </si>
  <si>
    <t>UNIVERSITY_STRUCTURE</t>
  </si>
  <si>
    <t>ARMORY</t>
  </si>
  <si>
    <t>ARMORY_STRUCTURE</t>
  </si>
  <si>
    <t>BLACKSMITH</t>
  </si>
  <si>
    <t>BLACKSMITH_STRUCTURE</t>
  </si>
  <si>
    <t>TOWER</t>
  </si>
  <si>
    <t>Bow</t>
  </si>
  <si>
    <t>Machine</t>
  </si>
  <si>
    <t>TOWER_STRUCTURE</t>
  </si>
  <si>
    <t>CANNON_TOWER</t>
  </si>
  <si>
    <t>Ball</t>
  </si>
  <si>
    <t>Elemental</t>
  </si>
  <si>
    <t>CANNON_TOWER_STRUCTURE</t>
  </si>
  <si>
    <t>TRADING_POST</t>
  </si>
  <si>
    <t>TRADING_POST_STRUCTURE</t>
  </si>
  <si>
    <t>MARKET</t>
  </si>
  <si>
    <t>MARKET_STRUCTURE</t>
  </si>
  <si>
    <t>CORN_FIELD</t>
  </si>
  <si>
    <t>TRIBAL_GATHERING</t>
  </si>
  <si>
    <t>TRIBAL_FAIR</t>
  </si>
  <si>
    <t>TRIBAL_CARNIVAL</t>
  </si>
  <si>
    <t>TRIBAL_FESTIVAL</t>
  </si>
  <si>
    <t>Final Value</t>
  </si>
  <si>
    <t>Lvls</t>
  </si>
  <si>
    <t>offset</t>
  </si>
  <si>
    <t>Level</t>
  </si>
  <si>
    <t>wood</t>
  </si>
  <si>
    <t>nooffset</t>
  </si>
  <si>
    <t>co</t>
  </si>
  <si>
    <t>Max Level</t>
  </si>
  <si>
    <t>Start Level</t>
  </si>
  <si>
    <t>//</t>
  </si>
  <si>
    <t>Init Time</t>
  </si>
  <si>
    <t>Final Time</t>
  </si>
  <si>
    <t>Equivalent</t>
  </si>
  <si>
    <t>Military</t>
  </si>
  <si>
    <t>//Name</t>
  </si>
  <si>
    <t>Calculator</t>
  </si>
  <si>
    <t>Building Template</t>
  </si>
  <si>
    <t>Building Strength</t>
  </si>
  <si>
    <t>:20</t>
  </si>
  <si>
    <t>:30</t>
  </si>
  <si>
    <t>:50</t>
  </si>
  <si>
    <t>1:00</t>
  </si>
  <si>
    <t>1:20</t>
  </si>
  <si>
    <t>1:30</t>
  </si>
  <si>
    <t>1:50</t>
  </si>
  <si>
    <t>2:00</t>
  </si>
  <si>
    <t>2:20</t>
  </si>
  <si>
    <t>2:40</t>
  </si>
  <si>
    <t>2:50</t>
  </si>
  <si>
    <t>3:10</t>
  </si>
  <si>
    <t>3:30</t>
  </si>
  <si>
    <t>3:50</t>
  </si>
  <si>
    <t>4:10</t>
  </si>
  <si>
    <t>1:00:00</t>
  </si>
  <si>
    <t>26:00:00</t>
  </si>
  <si>
    <t>55:30:00</t>
  </si>
  <si>
    <t>50:00:00</t>
  </si>
  <si>
    <t>31:56:40</t>
  </si>
  <si>
    <t>37:30:00</t>
  </si>
  <si>
    <t>55:33:20</t>
  </si>
  <si>
    <t>32:01:10</t>
  </si>
  <si>
    <t>43:29:50</t>
  </si>
  <si>
    <t>6:42:30</t>
  </si>
  <si>
    <t>38:53:20</t>
  </si>
  <si>
    <t>30:51:40</t>
  </si>
  <si>
    <t>Cap Crop(new calc)</t>
  </si>
  <si>
    <t>Cap Wood(new calc)</t>
  </si>
  <si>
    <t>Cap Iron(new calc)</t>
  </si>
  <si>
    <t>Splash</t>
  </si>
  <si>
    <t>TRIBAL_GATHERING_STRUCTURE</t>
  </si>
  <si>
    <t>TRIBAL_FAIR_STRUCTURE</t>
  </si>
  <si>
    <t>TRIBAL_CARNIVAL_STRUCTURE</t>
  </si>
  <si>
    <t>TRIBAL_FESTIVAL_STRUCTURE</t>
  </si>
  <si>
    <t>GRAPE_FIELD</t>
  </si>
  <si>
    <t>DEAD_FIELD</t>
  </si>
  <si>
    <t>DEAD_FIELD_STRUCTURE</t>
  </si>
  <si>
    <t>MATURE_GRAPE_FIELD</t>
  </si>
  <si>
    <t>EMPTY_FIELD</t>
  </si>
  <si>
    <t>FIELD_STRUCTURE</t>
  </si>
  <si>
    <t>GRAPE_FIELD_STRUCTURE</t>
  </si>
  <si>
    <t>Wooden</t>
  </si>
  <si>
    <t>DESTROYED_FIELD</t>
  </si>
  <si>
    <t>Building1</t>
  </si>
  <si>
    <t>Building3</t>
  </si>
  <si>
    <t>Building2</t>
  </si>
  <si>
    <t>Cannon</t>
  </si>
  <si>
    <t>STRONGHOLD_GATE</t>
  </si>
  <si>
    <t>Gate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</si>
</sst>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2" applyNumberFormat="0" applyFill="0" applyAlignment="0" applyProtection="0"/>
    <xf numFmtId="0" fontId="6" fillId="0" borderId="13" applyNumberFormat="0" applyFill="0" applyAlignment="0" applyProtection="0"/>
    <xf numFmtId="0" fontId="7" fillId="0" borderId="1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15" applyNumberFormat="0" applyAlignment="0" applyProtection="0"/>
    <xf numFmtId="0" fontId="12" fillId="6" borderId="16" applyNumberFormat="0" applyAlignment="0" applyProtection="0"/>
    <xf numFmtId="0" fontId="13" fillId="6" borderId="15" applyNumberFormat="0" applyAlignment="0" applyProtection="0"/>
    <xf numFmtId="0" fontId="14" fillId="0" borderId="17" applyNumberFormat="0" applyFill="0" applyAlignment="0" applyProtection="0"/>
    <xf numFmtId="0" fontId="15" fillId="7" borderId="18" applyNumberFormat="0" applyAlignment="0" applyProtection="0"/>
    <xf numFmtId="0" fontId="2" fillId="0" borderId="0" applyNumberFormat="0" applyFill="0" applyBorder="0" applyAlignment="0" applyProtection="0"/>
    <xf numFmtId="0" fontId="3" fillId="8" borderId="19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20" applyNumberFormat="0" applyFill="0" applyAlignment="0" applyProtection="0"/>
    <xf numFmtId="0" fontId="17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1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Font="1"/>
    <xf numFmtId="21" fontId="0" fillId="0" borderId="0" xfId="0" applyNumberFormat="1" applyAlignment="1">
      <alignment horizontal="right"/>
    </xf>
    <xf numFmtId="0" fontId="0" fillId="0" borderId="0" xfId="0" applyFill="1" applyBorder="1"/>
    <xf numFmtId="21" fontId="0" fillId="0" borderId="0" xfId="0" applyNumberFormat="1"/>
    <xf numFmtId="46" fontId="0" fillId="0" borderId="0" xfId="0" applyNumberFormat="1"/>
    <xf numFmtId="0" fontId="0" fillId="0" borderId="0" xfId="0" applyBorder="1"/>
    <xf numFmtId="0" fontId="0" fillId="0" borderId="7" xfId="0" applyBorder="1"/>
    <xf numFmtId="1" fontId="0" fillId="0" borderId="0" xfId="0" applyNumberFormat="1" applyBorder="1"/>
    <xf numFmtId="0" fontId="0" fillId="0" borderId="0" xfId="0" applyFont="1" applyBorder="1"/>
    <xf numFmtId="0" fontId="0" fillId="0" borderId="0" xfId="0" applyBorder="1" applyAlignment="1">
      <alignment horizontal="right"/>
    </xf>
    <xf numFmtId="2" fontId="0" fillId="0" borderId="0" xfId="0" applyNumberFormat="1" applyBorder="1"/>
    <xf numFmtId="0" fontId="0" fillId="0" borderId="8" xfId="0" applyBorder="1"/>
    <xf numFmtId="0" fontId="0" fillId="0" borderId="8" xfId="0" applyBorder="1" applyAlignment="1">
      <alignment horizontal="right"/>
    </xf>
    <xf numFmtId="21" fontId="0" fillId="0" borderId="0" xfId="0" applyNumberFormat="1" applyBorder="1" applyAlignment="1">
      <alignment horizontal="right"/>
    </xf>
    <xf numFmtId="1" fontId="0" fillId="0" borderId="8" xfId="0" applyNumberFormat="1" applyBorder="1"/>
    <xf numFmtId="0" fontId="0" fillId="0" borderId="9" xfId="0" applyBorder="1"/>
    <xf numFmtId="0" fontId="0" fillId="0" borderId="10" xfId="0" applyBorder="1"/>
    <xf numFmtId="1" fontId="0" fillId="0" borderId="7" xfId="0" applyNumberFormat="1" applyBorder="1"/>
    <xf numFmtId="0" fontId="0" fillId="0" borderId="7" xfId="0" applyNumberFormat="1" applyBorder="1" applyAlignment="1">
      <alignment horizontal="right"/>
    </xf>
    <xf numFmtId="0" fontId="0" fillId="0" borderId="9" xfId="0" applyNumberFormat="1" applyBorder="1" applyAlignment="1">
      <alignment horizontal="right"/>
    </xf>
    <xf numFmtId="1" fontId="0" fillId="0" borderId="10" xfId="0" applyNumberFormat="1" applyBorder="1"/>
    <xf numFmtId="1" fontId="0" fillId="0" borderId="11" xfId="0" applyNumberFormat="1" applyBorder="1"/>
    <xf numFmtId="0" fontId="0" fillId="0" borderId="7" xfId="0" applyBorder="1" applyAlignment="1">
      <alignment horizontal="right"/>
    </xf>
    <xf numFmtId="0" fontId="0" fillId="0" borderId="7" xfId="0" applyFill="1" applyBorder="1"/>
    <xf numFmtId="21" fontId="0" fillId="0" borderId="7" xfId="0" applyNumberFormat="1" applyBorder="1" applyAlignment="1">
      <alignment horizontal="right"/>
    </xf>
    <xf numFmtId="0" fontId="0" fillId="0" borderId="7" xfId="0" applyFont="1" applyBorder="1"/>
    <xf numFmtId="0" fontId="0" fillId="0" borderId="8" xfId="0" applyFont="1" applyBorder="1"/>
    <xf numFmtId="0" fontId="0" fillId="0" borderId="0" xfId="0"/>
    <xf numFmtId="2" fontId="0" fillId="0" borderId="8" xfId="0" applyNumberFormat="1" applyBorder="1"/>
    <xf numFmtId="2" fontId="0" fillId="0" borderId="11" xfId="0" applyNumberFormat="1" applyBorder="1"/>
    <xf numFmtId="1" fontId="18" fillId="0" borderId="0" xfId="0" applyNumberFormat="1" applyFont="1" applyBorder="1"/>
    <xf numFmtId="1" fontId="18" fillId="0" borderId="7" xfId="0" applyNumberFormat="1" applyFont="1" applyBorder="1"/>
    <xf numFmtId="21" fontId="18" fillId="0" borderId="0" xfId="0" applyNumberFormat="1" applyFont="1" applyBorder="1" applyAlignment="1">
      <alignment horizontal="right"/>
    </xf>
    <xf numFmtId="1" fontId="18" fillId="0" borderId="8" xfId="0" applyNumberFormat="1" applyFont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R90"/>
  <sheetViews>
    <sheetView workbookViewId="0">
      <pane ySplit="6900" topLeftCell="A13"/>
      <selection activeCell="B38" sqref="B38:E38"/>
      <selection pane="bottomLeft" activeCell="B37" sqref="B37:D37"/>
    </sheetView>
  </sheetViews>
  <sheetFormatPr defaultRowHeight="15" x14ac:dyDescent="0.25"/>
  <cols>
    <col min="1" max="1" width="22.5703125" customWidth="1"/>
    <col min="2" max="2" width="13.7109375" customWidth="1"/>
    <col min="3" max="3" width="16.140625" customWidth="1"/>
    <col min="4" max="4" width="15.140625" customWidth="1"/>
    <col min="5" max="5" width="15" customWidth="1"/>
    <col min="6" max="6" width="14.5703125" customWidth="1"/>
    <col min="7" max="7" width="19" bestFit="1" customWidth="1"/>
    <col min="8" max="8" width="39.28515625" customWidth="1"/>
    <col min="9" max="9" width="15.140625" bestFit="1" customWidth="1"/>
    <col min="11" max="11" width="25" bestFit="1" customWidth="1"/>
    <col min="17" max="17" width="10.140625" bestFit="1" customWidth="1"/>
  </cols>
  <sheetData>
    <row r="2" spans="1:18" x14ac:dyDescent="0.25">
      <c r="B2" s="44" t="s">
        <v>6</v>
      </c>
      <c r="C2" s="45"/>
      <c r="D2" s="46"/>
    </row>
    <row r="3" spans="1:18" x14ac:dyDescent="0.25">
      <c r="B3" s="4" t="s">
        <v>1</v>
      </c>
      <c r="C3" s="5" t="s">
        <v>3</v>
      </c>
      <c r="D3" s="6" t="s">
        <v>2</v>
      </c>
      <c r="E3" t="s">
        <v>0</v>
      </c>
      <c r="G3" t="s">
        <v>194</v>
      </c>
    </row>
    <row r="4" spans="1:18" x14ac:dyDescent="0.25">
      <c r="B4">
        <v>0.25</v>
      </c>
      <c r="C4">
        <v>1</v>
      </c>
      <c r="D4">
        <v>30</v>
      </c>
      <c r="E4" s="3">
        <v>500</v>
      </c>
      <c r="F4" s="3">
        <f>ROUND(E4/(EXP(C4)),0)*4</f>
        <v>736</v>
      </c>
      <c r="M4" t="s">
        <v>81</v>
      </c>
    </row>
    <row r="5" spans="1:18" x14ac:dyDescent="0.25">
      <c r="B5" s="10"/>
      <c r="L5" t="s">
        <v>83</v>
      </c>
      <c r="M5" t="s">
        <v>69</v>
      </c>
      <c r="O5" s="44" t="s">
        <v>6</v>
      </c>
      <c r="P5" s="45"/>
      <c r="Q5" s="46"/>
    </row>
    <row r="6" spans="1:18" x14ac:dyDescent="0.25">
      <c r="B6" s="1" t="s">
        <v>4</v>
      </c>
      <c r="C6" s="1" t="s">
        <v>5</v>
      </c>
      <c r="D6" s="1" t="s">
        <v>8</v>
      </c>
      <c r="E6" s="1" t="s">
        <v>9</v>
      </c>
      <c r="F6" s="1" t="s">
        <v>29</v>
      </c>
      <c r="G6" s="1" t="s">
        <v>84</v>
      </c>
      <c r="H6" s="1"/>
      <c r="O6" s="4" t="s">
        <v>1</v>
      </c>
      <c r="P6" s="5" t="s">
        <v>3</v>
      </c>
      <c r="Q6" s="6" t="s">
        <v>2</v>
      </c>
      <c r="R6" s="12" t="s">
        <v>82</v>
      </c>
    </row>
    <row r="7" spans="1:18" x14ac:dyDescent="0.25">
      <c r="A7">
        <v>1</v>
      </c>
      <c r="B7">
        <f>1+($C$4*(A7-1))</f>
        <v>1</v>
      </c>
      <c r="C7" s="2">
        <f>$E$4*EXP($B$4*B7)-300</f>
        <v>342.01270834387071</v>
      </c>
      <c r="D7" s="3">
        <f>ROUND(C7,0)</f>
        <v>342</v>
      </c>
      <c r="E7" s="3">
        <f t="shared" ref="E7:E16" si="0">ROUND(C7,-1)</f>
        <v>340</v>
      </c>
      <c r="F7" s="11" t="str">
        <f>TEXT(E7/86400,CHOOSE(MATCH(E7,{0,60,3600},1),":ss","m:ss","[h]:mm:ss"))</f>
        <v>5:40</v>
      </c>
      <c r="G7" s="3">
        <f>E7</f>
        <v>340</v>
      </c>
      <c r="H7" s="3"/>
      <c r="I7" t="s">
        <v>45</v>
      </c>
      <c r="J7" t="s">
        <v>42</v>
      </c>
      <c r="L7">
        <v>300</v>
      </c>
      <c r="M7" s="11" t="str">
        <f>TEXT(L7/86400,CHOOSE(MATCH(L7,{0,60,3600},1),":ss","m:ss","[h]:mm:ss"))</f>
        <v>5:00</v>
      </c>
      <c r="O7">
        <v>0.6</v>
      </c>
      <c r="P7">
        <v>1</v>
      </c>
      <c r="Q7">
        <v>300</v>
      </c>
      <c r="R7" s="14">
        <v>0.77048611111111109</v>
      </c>
    </row>
    <row r="8" spans="1:18" x14ac:dyDescent="0.25">
      <c r="A8">
        <v>2</v>
      </c>
      <c r="B8">
        <f t="shared" ref="B8:B21" si="1">1+($C$4*(A8-1))</f>
        <v>2</v>
      </c>
      <c r="C8" s="2">
        <f t="shared" ref="C8:C21" si="2">$E$4*EXP($B$4*B8)-300</f>
        <v>524.36063535006406</v>
      </c>
      <c r="D8" s="3">
        <f t="shared" ref="D8:D21" si="3">ROUND(C8,0)</f>
        <v>524</v>
      </c>
      <c r="E8" s="3">
        <f t="shared" si="0"/>
        <v>520</v>
      </c>
      <c r="F8" s="11" t="str">
        <f>TEXT(E8/86400,CHOOSE(MATCH(E8,{0,60,3600},1),":ss","m:ss","[h]:mm:ss"))</f>
        <v>8:40</v>
      </c>
      <c r="G8" s="3">
        <f>E9</f>
        <v>760</v>
      </c>
      <c r="H8" s="3"/>
      <c r="I8" t="s">
        <v>44</v>
      </c>
      <c r="J8" t="s">
        <v>43</v>
      </c>
      <c r="L8">
        <f>L7*4.5</f>
        <v>1350</v>
      </c>
      <c r="M8" s="11" t="str">
        <f>TEXT(L8/86400,CHOOSE(MATCH(L8,{0,60,3600},1),":ss","m:ss","[h]:mm:ss"))</f>
        <v>22:30</v>
      </c>
      <c r="O8">
        <v>0.45</v>
      </c>
      <c r="P8">
        <v>1</v>
      </c>
      <c r="Q8">
        <v>1350</v>
      </c>
      <c r="R8" s="14">
        <v>0.89699074074074081</v>
      </c>
    </row>
    <row r="9" spans="1:18" x14ac:dyDescent="0.25">
      <c r="A9">
        <v>3</v>
      </c>
      <c r="B9">
        <f t="shared" si="1"/>
        <v>3</v>
      </c>
      <c r="C9" s="2">
        <f t="shared" si="2"/>
        <v>758.50000830633735</v>
      </c>
      <c r="D9" s="3">
        <f t="shared" si="3"/>
        <v>759</v>
      </c>
      <c r="E9" s="3">
        <f t="shared" si="0"/>
        <v>760</v>
      </c>
      <c r="F9" s="11" t="str">
        <f>TEXT(E9/86400,CHOOSE(MATCH(E9,{0,60,3600},1),":ss","m:ss","[h]:mm:ss"))</f>
        <v>12:40</v>
      </c>
      <c r="G9" s="3">
        <f>E11</f>
        <v>1450</v>
      </c>
      <c r="H9" s="3"/>
      <c r="I9" t="s">
        <v>47</v>
      </c>
      <c r="J9" t="s">
        <v>46</v>
      </c>
      <c r="L9">
        <f>L8*3</f>
        <v>4050</v>
      </c>
      <c r="M9" s="11" t="str">
        <f>TEXT(L9/86400,CHOOSE(MATCH(L9,{0,60,3600},1),":ss","m:ss","[h]:mm:ss"))</f>
        <v>1:07:30</v>
      </c>
      <c r="O9">
        <v>0.35</v>
      </c>
      <c r="P9">
        <v>1</v>
      </c>
      <c r="Q9">
        <v>4050</v>
      </c>
      <c r="R9" s="14">
        <v>1.0938657407407406</v>
      </c>
    </row>
    <row r="10" spans="1:18" x14ac:dyDescent="0.25">
      <c r="A10">
        <v>4</v>
      </c>
      <c r="B10">
        <f t="shared" si="1"/>
        <v>4</v>
      </c>
      <c r="C10" s="2">
        <f t="shared" si="2"/>
        <v>1059.1409142295227</v>
      </c>
      <c r="D10" s="3">
        <f t="shared" si="3"/>
        <v>1059</v>
      </c>
      <c r="E10" s="3">
        <f t="shared" si="0"/>
        <v>1060</v>
      </c>
      <c r="F10" s="11" t="str">
        <f>TEXT(E10/86400,CHOOSE(MATCH(E10,{0,60,3600},1),":ss","m:ss","[h]:mm:ss"))</f>
        <v>17:40</v>
      </c>
      <c r="G10" s="3">
        <f>E13</f>
        <v>2580</v>
      </c>
      <c r="H10" s="3"/>
      <c r="I10" t="s">
        <v>126</v>
      </c>
      <c r="J10" t="s">
        <v>48</v>
      </c>
      <c r="K10" t="s">
        <v>123</v>
      </c>
      <c r="L10">
        <f>L9*3</f>
        <v>12150</v>
      </c>
      <c r="M10" s="11" t="str">
        <f>TEXT(L10/86400,CHOOSE(MATCH(L10,{0,60,3600},1),":ss","m:ss","[h]:mm:ss"))</f>
        <v>3:22:30</v>
      </c>
      <c r="O10">
        <v>0.25</v>
      </c>
      <c r="P10">
        <v>1</v>
      </c>
      <c r="Q10">
        <v>12150</v>
      </c>
      <c r="R10" s="14">
        <v>1.3341435185185186</v>
      </c>
    </row>
    <row r="11" spans="1:18" x14ac:dyDescent="0.25">
      <c r="A11">
        <v>5</v>
      </c>
      <c r="B11">
        <f t="shared" si="1"/>
        <v>5</v>
      </c>
      <c r="C11" s="2">
        <f t="shared" si="2"/>
        <v>1445.1714787309206</v>
      </c>
      <c r="D11" s="3">
        <f t="shared" si="3"/>
        <v>1445</v>
      </c>
      <c r="E11" s="3">
        <f t="shared" si="0"/>
        <v>1450</v>
      </c>
      <c r="F11" s="11" t="str">
        <f>TEXT(E11/86400,CHOOSE(MATCH(E11,{0,60,3600},1),":ss","m:ss","[h]:mm:ss"))</f>
        <v>24:10</v>
      </c>
      <c r="G11" s="3">
        <f>E15</f>
        <v>4440</v>
      </c>
      <c r="H11" s="3"/>
      <c r="I11" t="s">
        <v>50</v>
      </c>
      <c r="J11" t="s">
        <v>54</v>
      </c>
      <c r="K11" t="s">
        <v>124</v>
      </c>
      <c r="L11">
        <f>L10*2</f>
        <v>24300</v>
      </c>
      <c r="M11" s="11" t="str">
        <f>TEXT(L11/86400,CHOOSE(MATCH(L11,{0,60,3600},1),":ss","m:ss","[h]:mm:ss"))</f>
        <v>6:45:00</v>
      </c>
      <c r="O11">
        <v>0.19</v>
      </c>
      <c r="P11">
        <v>1</v>
      </c>
      <c r="Q11">
        <v>24300</v>
      </c>
      <c r="R11" s="14">
        <v>1.5549768518518519</v>
      </c>
    </row>
    <row r="12" spans="1:18" x14ac:dyDescent="0.25">
      <c r="A12">
        <v>6</v>
      </c>
      <c r="B12">
        <f t="shared" si="1"/>
        <v>6</v>
      </c>
      <c r="C12" s="2">
        <f t="shared" si="2"/>
        <v>1940.844535169032</v>
      </c>
      <c r="D12" s="3">
        <f t="shared" si="3"/>
        <v>1941</v>
      </c>
      <c r="E12" s="3">
        <f t="shared" si="0"/>
        <v>1940</v>
      </c>
      <c r="F12" s="11" t="str">
        <f>TEXT(E12/86400,CHOOSE(MATCH(E12,{0,60,3600},1),":ss","m:ss","[h]:mm:ss"))</f>
        <v>32:20</v>
      </c>
      <c r="I12" t="s">
        <v>53</v>
      </c>
      <c r="J12" t="s">
        <v>51</v>
      </c>
      <c r="L12">
        <f>L11*2</f>
        <v>48600</v>
      </c>
      <c r="M12" s="11" t="str">
        <f>TEXT(L12/86400,CHOOSE(MATCH(L12,{0,60,3600},1),":ss","m:ss","[h]:mm:ss"))</f>
        <v>13:30:00</v>
      </c>
      <c r="O12">
        <v>0.13</v>
      </c>
      <c r="P12">
        <v>1</v>
      </c>
      <c r="Q12">
        <v>48600</v>
      </c>
      <c r="R12" s="14">
        <v>1.8123842592592592</v>
      </c>
    </row>
    <row r="13" spans="1:18" x14ac:dyDescent="0.25">
      <c r="A13">
        <v>7</v>
      </c>
      <c r="B13">
        <f t="shared" si="1"/>
        <v>7</v>
      </c>
      <c r="C13" s="2">
        <f t="shared" si="2"/>
        <v>2577.3013380028656</v>
      </c>
      <c r="D13" s="3">
        <f t="shared" si="3"/>
        <v>2577</v>
      </c>
      <c r="E13" s="3">
        <f t="shared" si="0"/>
        <v>2580</v>
      </c>
      <c r="F13" s="11" t="str">
        <f>TEXT(E13/86400,CHOOSE(MATCH(E13,{0,60,3600},1),":ss","m:ss","[h]:mm:ss"))</f>
        <v>43:00</v>
      </c>
      <c r="J13" t="s">
        <v>52</v>
      </c>
      <c r="L13">
        <f>L12*1.5</f>
        <v>72900</v>
      </c>
      <c r="M13" s="11" t="str">
        <f>TEXT(L13/86400,CHOOSE(MATCH(L13,{0,60,3600},1),":ss","m:ss","[h]:mm:ss"))</f>
        <v>20:15:00</v>
      </c>
      <c r="O13">
        <v>0.1</v>
      </c>
      <c r="P13">
        <v>1</v>
      </c>
      <c r="Q13">
        <v>72900</v>
      </c>
      <c r="R13" s="14">
        <v>2.0753472222222222</v>
      </c>
    </row>
    <row r="14" spans="1:18" x14ac:dyDescent="0.25">
      <c r="A14">
        <v>8</v>
      </c>
      <c r="B14">
        <f t="shared" si="1"/>
        <v>8</v>
      </c>
      <c r="C14" s="2">
        <f t="shared" si="2"/>
        <v>3394.5280494653252</v>
      </c>
      <c r="D14" s="3">
        <f t="shared" si="3"/>
        <v>3395</v>
      </c>
      <c r="E14" s="3">
        <f t="shared" si="0"/>
        <v>3390</v>
      </c>
      <c r="F14" s="11" t="str">
        <f>TEXT(E14/86400,CHOOSE(MATCH(E14,{0,60,3600},1),":ss","m:ss","[h]:mm:ss"))</f>
        <v>56:30</v>
      </c>
      <c r="L14">
        <f>L13*1.5</f>
        <v>109350</v>
      </c>
      <c r="M14" s="11" t="str">
        <f>TEXT(L14/86400,CHOOSE(MATCH(L14,{0,60,3600},1),":ss","m:ss","[h]:mm:ss"))</f>
        <v>30:22:30</v>
      </c>
      <c r="O14">
        <v>6.6000000000000003E-2</v>
      </c>
      <c r="P14">
        <v>1</v>
      </c>
      <c r="Q14">
        <v>109350</v>
      </c>
      <c r="R14" s="14">
        <v>2.2923611111111111</v>
      </c>
    </row>
    <row r="15" spans="1:18" x14ac:dyDescent="0.25">
      <c r="A15">
        <v>9</v>
      </c>
      <c r="B15">
        <f t="shared" si="1"/>
        <v>9</v>
      </c>
      <c r="C15" s="2">
        <f t="shared" si="2"/>
        <v>4443.8679181792631</v>
      </c>
      <c r="D15" s="3">
        <f t="shared" si="3"/>
        <v>4444</v>
      </c>
      <c r="E15" s="3">
        <f t="shared" si="0"/>
        <v>4440</v>
      </c>
      <c r="F15" s="11" t="str">
        <f>TEXT(E15/86400,CHOOSE(MATCH(E15,{0,60,3600},1),":ss","m:ss","[h]:mm:ss"))</f>
        <v>1:14:00</v>
      </c>
      <c r="L15">
        <f>L14*1.5</f>
        <v>164025</v>
      </c>
      <c r="M15" s="11" t="str">
        <f>TEXT(L15/86400,CHOOSE(MATCH(L15,{0,60,3600},1),":ss","m:ss","[h]:mm:ss"))</f>
        <v>45:33:45</v>
      </c>
      <c r="O15">
        <v>3.5000000000000003E-2</v>
      </c>
      <c r="P15">
        <v>1</v>
      </c>
      <c r="Q15">
        <v>164025</v>
      </c>
      <c r="R15" s="14">
        <v>2.6013888888888888</v>
      </c>
    </row>
    <row r="16" spans="1:18" x14ac:dyDescent="0.25">
      <c r="A16">
        <v>10</v>
      </c>
      <c r="B16">
        <f t="shared" si="1"/>
        <v>10</v>
      </c>
      <c r="C16" s="2">
        <f t="shared" si="2"/>
        <v>5791.246980351737</v>
      </c>
      <c r="D16" s="3">
        <f t="shared" si="3"/>
        <v>5791</v>
      </c>
      <c r="E16" s="3">
        <f t="shared" si="0"/>
        <v>5790</v>
      </c>
      <c r="F16" s="11" t="str">
        <f>TEXT(E16/86400,CHOOSE(MATCH(E16,{0,60,3600},1),":ss","m:ss","[h]:mm:ss"))</f>
        <v>1:36:30</v>
      </c>
      <c r="L16">
        <f>L15*1.3</f>
        <v>213232.5</v>
      </c>
      <c r="M16" s="11" t="str">
        <f>TEXT(L16/86400,CHOOSE(MATCH(L16,{0,60,3600},1),":ss","m:ss","[h]:mm:ss"))</f>
        <v>59:13:52</v>
      </c>
      <c r="O16">
        <v>1.4E-2</v>
      </c>
      <c r="P16">
        <v>1</v>
      </c>
      <c r="Q16">
        <v>213232</v>
      </c>
      <c r="R16" s="14">
        <v>2.7994212962962965</v>
      </c>
    </row>
    <row r="17" spans="1:13" x14ac:dyDescent="0.25">
      <c r="A17">
        <v>11</v>
      </c>
      <c r="B17">
        <f t="shared" si="1"/>
        <v>11</v>
      </c>
      <c r="C17" s="2">
        <f t="shared" si="2"/>
        <v>7521.3159420940856</v>
      </c>
      <c r="D17" s="3">
        <f t="shared" si="3"/>
        <v>7521</v>
      </c>
      <c r="E17" s="3">
        <f t="shared" ref="E17:E21" si="4">ROUND(C17,-1)</f>
        <v>7520</v>
      </c>
      <c r="F17" s="11" t="str">
        <f>TEXT(E17/86400,CHOOSE(MATCH(E17,{0,60,3600},1),":ss","m:ss","[h]:mm:ss"))</f>
        <v>2:05:20</v>
      </c>
    </row>
    <row r="18" spans="1:13" x14ac:dyDescent="0.25">
      <c r="A18">
        <v>12</v>
      </c>
      <c r="B18">
        <f t="shared" si="1"/>
        <v>12</v>
      </c>
      <c r="C18" s="2">
        <f t="shared" si="2"/>
        <v>9742.7684615938342</v>
      </c>
      <c r="D18" s="3">
        <f t="shared" si="3"/>
        <v>9743</v>
      </c>
      <c r="E18" s="3">
        <f t="shared" si="4"/>
        <v>9740</v>
      </c>
      <c r="F18" s="11" t="str">
        <f>TEXT(E18/86400,CHOOSE(MATCH(E18,{0,60,3600},1),":ss","m:ss","[h]:mm:ss"))</f>
        <v>2:42:20</v>
      </c>
    </row>
    <row r="19" spans="1:13" x14ac:dyDescent="0.25">
      <c r="A19">
        <v>13</v>
      </c>
      <c r="B19">
        <f t="shared" si="1"/>
        <v>13</v>
      </c>
      <c r="C19" s="2">
        <f t="shared" si="2"/>
        <v>12595.169958596531</v>
      </c>
      <c r="D19" s="3">
        <f t="shared" si="3"/>
        <v>12595</v>
      </c>
      <c r="E19" s="3">
        <f t="shared" si="4"/>
        <v>12600</v>
      </c>
      <c r="F19" s="11" t="str">
        <f>TEXT(E19/86400,CHOOSE(MATCH(E19,{0,60,3600},1),":ss","m:ss","[h]:mm:ss"))</f>
        <v>3:30:00</v>
      </c>
    </row>
    <row r="20" spans="1:13" x14ac:dyDescent="0.25">
      <c r="A20">
        <v>14</v>
      </c>
      <c r="B20">
        <f t="shared" si="1"/>
        <v>14</v>
      </c>
      <c r="C20" s="2">
        <f t="shared" si="2"/>
        <v>16257.725979346156</v>
      </c>
      <c r="D20" s="3">
        <f t="shared" si="3"/>
        <v>16258</v>
      </c>
      <c r="E20" s="3">
        <f t="shared" si="4"/>
        <v>16260</v>
      </c>
      <c r="F20" s="11" t="str">
        <f>TEXT(E20/86400,CHOOSE(MATCH(E20,{0,60,3600},1),":ss","m:ss","[h]:mm:ss"))</f>
        <v>4:31:00</v>
      </c>
    </row>
    <row r="21" spans="1:13" x14ac:dyDescent="0.25">
      <c r="A21">
        <v>15</v>
      </c>
      <c r="B21">
        <f t="shared" si="1"/>
        <v>15</v>
      </c>
      <c r="C21" s="2">
        <f t="shared" si="2"/>
        <v>20960.541000031393</v>
      </c>
      <c r="D21" s="3">
        <f t="shared" si="3"/>
        <v>20961</v>
      </c>
      <c r="E21" s="3">
        <f t="shared" si="4"/>
        <v>20960</v>
      </c>
      <c r="F21" s="11" t="str">
        <f>TEXT(E21/86400,CHOOSE(MATCH(E21,{0,60,3600},1),":ss","m:ss","[h]:mm:ss"))</f>
        <v>5:49:20</v>
      </c>
    </row>
    <row r="31" spans="1:13" x14ac:dyDescent="0.25">
      <c r="B31" s="7" t="s">
        <v>1</v>
      </c>
      <c r="C31" s="8" t="s">
        <v>3</v>
      </c>
      <c r="D31" s="9" t="s">
        <v>2</v>
      </c>
      <c r="F31" s="12" t="s">
        <v>67</v>
      </c>
      <c r="J31">
        <v>0</v>
      </c>
      <c r="K31">
        <v>0</v>
      </c>
      <c r="L31" t="s">
        <v>70</v>
      </c>
      <c r="M31" t="s">
        <v>69</v>
      </c>
    </row>
    <row r="32" spans="1:13" x14ac:dyDescent="0.25">
      <c r="A32" t="s">
        <v>85</v>
      </c>
      <c r="B32">
        <v>0.09</v>
      </c>
      <c r="C32">
        <v>1</v>
      </c>
      <c r="D32">
        <v>100</v>
      </c>
      <c r="F32" s="12"/>
    </row>
    <row r="33" spans="1:13" x14ac:dyDescent="0.25">
      <c r="A33" t="s">
        <v>7</v>
      </c>
      <c r="B33">
        <v>0.35</v>
      </c>
      <c r="C33">
        <v>1</v>
      </c>
      <c r="D33">
        <v>10</v>
      </c>
      <c r="G33" t="s">
        <v>45</v>
      </c>
      <c r="H33" t="s">
        <v>42</v>
      </c>
      <c r="I33">
        <v>1</v>
      </c>
      <c r="J33">
        <v>120</v>
      </c>
      <c r="K33">
        <v>150</v>
      </c>
      <c r="L33">
        <v>300</v>
      </c>
      <c r="M33" s="13" t="s">
        <v>71</v>
      </c>
    </row>
    <row r="34" spans="1:13" x14ac:dyDescent="0.25">
      <c r="A34" t="s">
        <v>10</v>
      </c>
      <c r="B34">
        <v>0.45</v>
      </c>
      <c r="C34">
        <v>1</v>
      </c>
      <c r="D34">
        <v>4</v>
      </c>
      <c r="G34" t="s">
        <v>87</v>
      </c>
      <c r="H34" t="s">
        <v>86</v>
      </c>
      <c r="I34">
        <v>2</v>
      </c>
      <c r="J34">
        <v>210</v>
      </c>
      <c r="K34">
        <v>250</v>
      </c>
      <c r="L34">
        <v>1350</v>
      </c>
      <c r="M34" s="13" t="s">
        <v>72</v>
      </c>
    </row>
    <row r="35" spans="1:13" x14ac:dyDescent="0.25">
      <c r="A35" t="s">
        <v>30</v>
      </c>
      <c r="B35">
        <v>0.65</v>
      </c>
      <c r="C35">
        <v>1</v>
      </c>
      <c r="D35">
        <v>300</v>
      </c>
      <c r="G35" t="s">
        <v>47</v>
      </c>
      <c r="H35" t="s">
        <v>46</v>
      </c>
      <c r="I35">
        <v>3</v>
      </c>
      <c r="J35">
        <v>370</v>
      </c>
      <c r="K35">
        <v>320</v>
      </c>
      <c r="L35">
        <v>4050</v>
      </c>
      <c r="M35" s="13" t="s">
        <v>73</v>
      </c>
    </row>
    <row r="36" spans="1:13" x14ac:dyDescent="0.25">
      <c r="G36" t="s">
        <v>49</v>
      </c>
      <c r="H36" t="s">
        <v>89</v>
      </c>
      <c r="I36">
        <v>4</v>
      </c>
      <c r="J36">
        <v>650</v>
      </c>
      <c r="K36">
        <v>520</v>
      </c>
      <c r="L36">
        <v>12150</v>
      </c>
      <c r="M36" s="13" t="s">
        <v>74</v>
      </c>
    </row>
    <row r="37" spans="1:13" x14ac:dyDescent="0.25">
      <c r="A37" t="s">
        <v>239</v>
      </c>
      <c r="B37" s="15">
        <v>15</v>
      </c>
      <c r="C37" s="15">
        <v>0.28000000000000003</v>
      </c>
      <c r="D37" s="15">
        <v>700</v>
      </c>
      <c r="E37" s="15">
        <v>28000</v>
      </c>
      <c r="G37" t="s">
        <v>50</v>
      </c>
      <c r="H37" t="s">
        <v>88</v>
      </c>
      <c r="I37">
        <v>5</v>
      </c>
      <c r="J37">
        <v>1130</v>
      </c>
      <c r="K37">
        <v>880</v>
      </c>
      <c r="L37">
        <v>24300</v>
      </c>
      <c r="M37" s="13" t="s">
        <v>75</v>
      </c>
    </row>
    <row r="38" spans="1:13" x14ac:dyDescent="0.25">
      <c r="A38" t="s">
        <v>240</v>
      </c>
      <c r="B38" s="15">
        <v>15</v>
      </c>
      <c r="C38" s="15">
        <v>0.28000000000000003</v>
      </c>
      <c r="D38" s="15">
        <v>700</v>
      </c>
      <c r="E38" s="15">
        <v>28000</v>
      </c>
      <c r="G38" t="s">
        <v>53</v>
      </c>
      <c r="H38" t="s">
        <v>51</v>
      </c>
      <c r="I38">
        <v>6</v>
      </c>
      <c r="J38">
        <v>1980</v>
      </c>
      <c r="K38">
        <v>1460</v>
      </c>
      <c r="L38">
        <v>48600</v>
      </c>
      <c r="M38" s="13" t="s">
        <v>76</v>
      </c>
    </row>
    <row r="39" spans="1:13" x14ac:dyDescent="0.25">
      <c r="A39" t="s">
        <v>241</v>
      </c>
      <c r="B39" s="15">
        <v>15</v>
      </c>
      <c r="C39" s="15">
        <v>0.161</v>
      </c>
      <c r="D39" s="15">
        <v>-5</v>
      </c>
      <c r="E39" s="15">
        <v>5000</v>
      </c>
      <c r="H39" t="s">
        <v>52</v>
      </c>
      <c r="I39">
        <v>7</v>
      </c>
      <c r="J39">
        <v>3470</v>
      </c>
      <c r="K39">
        <v>2420</v>
      </c>
      <c r="L39">
        <v>72900</v>
      </c>
      <c r="M39" s="13" t="s">
        <v>77</v>
      </c>
    </row>
    <row r="40" spans="1:13" x14ac:dyDescent="0.25">
      <c r="I40">
        <v>8</v>
      </c>
      <c r="J40">
        <v>6070</v>
      </c>
      <c r="K40">
        <v>4040</v>
      </c>
      <c r="L40">
        <v>109350</v>
      </c>
      <c r="M40" s="13" t="s">
        <v>78</v>
      </c>
    </row>
    <row r="41" spans="1:13" x14ac:dyDescent="0.25">
      <c r="A41" t="s">
        <v>31</v>
      </c>
      <c r="B41">
        <v>0.28000000000000003</v>
      </c>
      <c r="C41">
        <v>2</v>
      </c>
      <c r="D41">
        <v>120</v>
      </c>
      <c r="F41">
        <v>18600</v>
      </c>
      <c r="I41">
        <v>9</v>
      </c>
      <c r="J41">
        <v>10620</v>
      </c>
      <c r="K41">
        <v>6760</v>
      </c>
      <c r="L41">
        <v>164030</v>
      </c>
      <c r="M41" s="13" t="s">
        <v>79</v>
      </c>
    </row>
    <row r="42" spans="1:13" x14ac:dyDescent="0.25">
      <c r="A42" t="s">
        <v>32</v>
      </c>
      <c r="B42">
        <v>0.24</v>
      </c>
      <c r="C42">
        <v>2</v>
      </c>
      <c r="D42">
        <v>150</v>
      </c>
      <c r="F42">
        <v>11280</v>
      </c>
      <c r="I42">
        <v>10</v>
      </c>
      <c r="J42">
        <v>18600</v>
      </c>
      <c r="K42">
        <v>11280</v>
      </c>
      <c r="L42">
        <v>246040</v>
      </c>
      <c r="M42" s="13" t="s">
        <v>80</v>
      </c>
    </row>
    <row r="44" spans="1:13" x14ac:dyDescent="0.25">
      <c r="A44" t="s">
        <v>11</v>
      </c>
      <c r="B44">
        <v>0.25</v>
      </c>
      <c r="C44">
        <v>2</v>
      </c>
      <c r="D44">
        <v>55</v>
      </c>
      <c r="F44">
        <v>4430</v>
      </c>
    </row>
    <row r="45" spans="1:13" x14ac:dyDescent="0.25">
      <c r="A45" t="s">
        <v>12</v>
      </c>
      <c r="B45">
        <v>0.28000000000000003</v>
      </c>
      <c r="C45">
        <v>2</v>
      </c>
      <c r="D45">
        <v>90</v>
      </c>
      <c r="F45">
        <v>7170</v>
      </c>
    </row>
    <row r="47" spans="1:13" x14ac:dyDescent="0.25">
      <c r="A47" t="s">
        <v>13</v>
      </c>
      <c r="B47">
        <v>0.25</v>
      </c>
      <c r="C47">
        <v>2</v>
      </c>
      <c r="D47">
        <v>80</v>
      </c>
      <c r="F47">
        <v>8090</v>
      </c>
    </row>
    <row r="48" spans="1:13" x14ac:dyDescent="0.25">
      <c r="A48" t="s">
        <v>14</v>
      </c>
      <c r="B48">
        <v>0.23</v>
      </c>
      <c r="C48">
        <v>2</v>
      </c>
      <c r="D48">
        <v>70</v>
      </c>
      <c r="F48">
        <v>4970</v>
      </c>
    </row>
    <row r="50" spans="1:6" x14ac:dyDescent="0.25">
      <c r="A50" t="s">
        <v>35</v>
      </c>
      <c r="B50">
        <v>0.25</v>
      </c>
      <c r="C50">
        <v>2</v>
      </c>
      <c r="D50">
        <v>55</v>
      </c>
      <c r="E50" t="s">
        <v>66</v>
      </c>
    </row>
    <row r="51" spans="1:6" x14ac:dyDescent="0.25">
      <c r="A51" t="s">
        <v>36</v>
      </c>
      <c r="B51">
        <v>0.25</v>
      </c>
      <c r="C51">
        <v>2</v>
      </c>
      <c r="D51">
        <v>70</v>
      </c>
    </row>
    <row r="52" spans="1:6" x14ac:dyDescent="0.25">
      <c r="A52" t="s">
        <v>38</v>
      </c>
      <c r="B52">
        <v>0.2</v>
      </c>
      <c r="C52">
        <v>2</v>
      </c>
      <c r="D52">
        <v>100</v>
      </c>
      <c r="E52" t="s">
        <v>37</v>
      </c>
    </row>
    <row r="53" spans="1:6" x14ac:dyDescent="0.25">
      <c r="A53" t="s">
        <v>39</v>
      </c>
      <c r="B53">
        <v>0.2</v>
      </c>
      <c r="C53">
        <v>2</v>
      </c>
      <c r="D53">
        <v>100</v>
      </c>
    </row>
    <row r="54" spans="1:6" x14ac:dyDescent="0.25">
      <c r="A54" t="s">
        <v>40</v>
      </c>
      <c r="B54">
        <v>0.3</v>
      </c>
      <c r="C54">
        <v>2</v>
      </c>
      <c r="D54">
        <v>200</v>
      </c>
    </row>
    <row r="55" spans="1:6" x14ac:dyDescent="0.25">
      <c r="A55" t="s">
        <v>41</v>
      </c>
      <c r="B55">
        <v>0.1</v>
      </c>
      <c r="C55">
        <v>2</v>
      </c>
      <c r="D55">
        <v>22000</v>
      </c>
    </row>
    <row r="57" spans="1:6" x14ac:dyDescent="0.25">
      <c r="A57" t="s">
        <v>17</v>
      </c>
      <c r="B57" s="2">
        <v>0.2</v>
      </c>
      <c r="C57">
        <v>2</v>
      </c>
      <c r="D57">
        <v>180</v>
      </c>
      <c r="E57" t="s">
        <v>57</v>
      </c>
      <c r="F57">
        <v>6570</v>
      </c>
    </row>
    <row r="58" spans="1:6" x14ac:dyDescent="0.25">
      <c r="A58" t="s">
        <v>20</v>
      </c>
      <c r="B58">
        <v>0.23</v>
      </c>
      <c r="C58">
        <v>2</v>
      </c>
      <c r="D58">
        <v>120</v>
      </c>
      <c r="F58">
        <v>7510</v>
      </c>
    </row>
    <row r="60" spans="1:6" x14ac:dyDescent="0.25">
      <c r="A60" t="s">
        <v>25</v>
      </c>
      <c r="B60">
        <v>0.21</v>
      </c>
      <c r="C60">
        <v>2</v>
      </c>
      <c r="D60">
        <v>200</v>
      </c>
      <c r="E60" t="s">
        <v>55</v>
      </c>
      <c r="F60">
        <v>4270</v>
      </c>
    </row>
    <row r="61" spans="1:6" x14ac:dyDescent="0.25">
      <c r="A61" t="s">
        <v>26</v>
      </c>
      <c r="B61">
        <v>0.2</v>
      </c>
      <c r="C61">
        <v>2</v>
      </c>
      <c r="D61">
        <v>320</v>
      </c>
      <c r="E61" t="s">
        <v>68</v>
      </c>
      <c r="F61">
        <v>11710</v>
      </c>
    </row>
    <row r="63" spans="1:6" x14ac:dyDescent="0.25">
      <c r="A63" t="s">
        <v>15</v>
      </c>
      <c r="B63">
        <v>0.35</v>
      </c>
      <c r="C63">
        <v>2</v>
      </c>
      <c r="D63">
        <v>220</v>
      </c>
      <c r="E63" t="s">
        <v>56</v>
      </c>
      <c r="F63">
        <v>3620</v>
      </c>
    </row>
    <row r="64" spans="1:6" x14ac:dyDescent="0.25">
      <c r="A64" t="s">
        <v>16</v>
      </c>
      <c r="B64">
        <v>0.35</v>
      </c>
      <c r="C64">
        <v>2</v>
      </c>
      <c r="D64">
        <v>290</v>
      </c>
      <c r="F64" s="3">
        <v>4760</v>
      </c>
    </row>
    <row r="66" spans="1:6" x14ac:dyDescent="0.25">
      <c r="A66" t="s">
        <v>61</v>
      </c>
      <c r="B66">
        <v>0.21</v>
      </c>
      <c r="C66">
        <v>2</v>
      </c>
      <c r="D66">
        <v>300</v>
      </c>
      <c r="E66" t="s">
        <v>56</v>
      </c>
      <c r="F66" s="3">
        <v>13140</v>
      </c>
    </row>
    <row r="67" spans="1:6" x14ac:dyDescent="0.25">
      <c r="A67" t="s">
        <v>62</v>
      </c>
      <c r="B67">
        <v>0.22</v>
      </c>
      <c r="C67">
        <v>2</v>
      </c>
      <c r="D67">
        <v>270</v>
      </c>
      <c r="F67">
        <v>14180</v>
      </c>
    </row>
    <row r="69" spans="1:6" x14ac:dyDescent="0.25">
      <c r="A69" t="s">
        <v>63</v>
      </c>
      <c r="B69">
        <v>0.18</v>
      </c>
      <c r="C69">
        <v>2</v>
      </c>
      <c r="D69">
        <v>380</v>
      </c>
      <c r="E69" t="s">
        <v>60</v>
      </c>
      <c r="F69">
        <v>9690</v>
      </c>
    </row>
    <row r="70" spans="1:6" x14ac:dyDescent="0.25">
      <c r="A70" t="s">
        <v>64</v>
      </c>
      <c r="B70">
        <v>0.12</v>
      </c>
      <c r="C70">
        <v>2</v>
      </c>
      <c r="D70">
        <v>450</v>
      </c>
      <c r="F70">
        <v>3900</v>
      </c>
    </row>
    <row r="72" spans="1:6" x14ac:dyDescent="0.25">
      <c r="A72" t="s">
        <v>23</v>
      </c>
      <c r="B72">
        <v>0.16</v>
      </c>
      <c r="C72">
        <v>2</v>
      </c>
      <c r="D72">
        <v>400</v>
      </c>
      <c r="E72" t="s">
        <v>60</v>
      </c>
      <c r="F72">
        <v>7130</v>
      </c>
    </row>
    <row r="73" spans="1:6" x14ac:dyDescent="0.25">
      <c r="A73" t="s">
        <v>24</v>
      </c>
      <c r="B73">
        <v>0.23</v>
      </c>
      <c r="C73">
        <v>2</v>
      </c>
      <c r="D73">
        <v>510</v>
      </c>
      <c r="F73">
        <v>9090</v>
      </c>
    </row>
    <row r="75" spans="1:6" x14ac:dyDescent="0.25">
      <c r="A75" t="s">
        <v>18</v>
      </c>
      <c r="B75">
        <v>0.13</v>
      </c>
      <c r="C75">
        <v>2</v>
      </c>
      <c r="D75">
        <v>660</v>
      </c>
      <c r="E75" t="s">
        <v>58</v>
      </c>
      <c r="F75">
        <v>6860</v>
      </c>
    </row>
    <row r="76" spans="1:6" x14ac:dyDescent="0.25">
      <c r="A76" t="s">
        <v>19</v>
      </c>
      <c r="B76">
        <v>0.14000000000000001</v>
      </c>
      <c r="C76">
        <v>2</v>
      </c>
      <c r="D76">
        <v>800</v>
      </c>
      <c r="F76">
        <v>9940</v>
      </c>
    </row>
    <row r="78" spans="1:6" x14ac:dyDescent="0.25">
      <c r="A78" t="s">
        <v>27</v>
      </c>
      <c r="B78">
        <v>0.2</v>
      </c>
      <c r="C78">
        <v>2</v>
      </c>
      <c r="D78">
        <v>590</v>
      </c>
      <c r="E78" t="s">
        <v>58</v>
      </c>
      <c r="F78">
        <v>4210</v>
      </c>
    </row>
    <row r="79" spans="1:6" x14ac:dyDescent="0.25">
      <c r="A79" t="s">
        <v>28</v>
      </c>
      <c r="B79">
        <v>0.21</v>
      </c>
      <c r="C79">
        <v>2</v>
      </c>
      <c r="D79">
        <v>760</v>
      </c>
      <c r="F79">
        <v>4080</v>
      </c>
    </row>
    <row r="81" spans="1:6" x14ac:dyDescent="0.25">
      <c r="A81" t="s">
        <v>33</v>
      </c>
      <c r="B81">
        <v>0.15</v>
      </c>
      <c r="C81">
        <v>2</v>
      </c>
      <c r="D81">
        <v>750</v>
      </c>
      <c r="E81" t="s">
        <v>65</v>
      </c>
      <c r="F81">
        <v>11170</v>
      </c>
    </row>
    <row r="82" spans="1:6" x14ac:dyDescent="0.25">
      <c r="A82" t="s">
        <v>34</v>
      </c>
      <c r="B82">
        <v>0.14000000000000001</v>
      </c>
      <c r="C82">
        <v>2</v>
      </c>
      <c r="D82">
        <v>1100</v>
      </c>
      <c r="F82" s="3">
        <v>13670</v>
      </c>
    </row>
    <row r="83" spans="1:6" x14ac:dyDescent="0.25">
      <c r="B83" s="10"/>
    </row>
    <row r="84" spans="1:6" x14ac:dyDescent="0.25">
      <c r="A84" t="s">
        <v>21</v>
      </c>
      <c r="B84">
        <v>0.11</v>
      </c>
      <c r="C84">
        <v>2</v>
      </c>
      <c r="D84">
        <v>1800</v>
      </c>
      <c r="E84" t="s">
        <v>59</v>
      </c>
      <c r="F84">
        <v>13040</v>
      </c>
    </row>
    <row r="85" spans="1:6" x14ac:dyDescent="0.25">
      <c r="A85" t="s">
        <v>22</v>
      </c>
      <c r="B85">
        <v>0.11</v>
      </c>
      <c r="C85">
        <v>2</v>
      </c>
      <c r="D85">
        <v>2320</v>
      </c>
      <c r="F85">
        <v>20120</v>
      </c>
    </row>
    <row r="86" spans="1:6" ht="32.25" customHeight="1" x14ac:dyDescent="0.25"/>
    <row r="87" spans="1:6" x14ac:dyDescent="0.25">
      <c r="B87" s="10"/>
    </row>
    <row r="88" spans="1:6" x14ac:dyDescent="0.25">
      <c r="B88" s="10"/>
    </row>
    <row r="89" spans="1:6" x14ac:dyDescent="0.25">
      <c r="B89" s="10"/>
    </row>
    <row r="90" spans="1:6" x14ac:dyDescent="0.25">
      <c r="B90" s="10"/>
    </row>
  </sheetData>
  <mergeCells count="2">
    <mergeCell ref="B2:D2"/>
    <mergeCell ref="O5:Q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P31"/>
  <sheetViews>
    <sheetView workbookViewId="0">
      <selection activeCell="C11" sqref="C11"/>
    </sheetView>
  </sheetViews>
  <sheetFormatPr defaultRowHeight="15" x14ac:dyDescent="0.25"/>
  <cols>
    <col min="3" max="3" width="18.85546875" customWidth="1"/>
    <col min="4" max="5" width="11.7109375" customWidth="1"/>
    <col min="6" max="6" width="17.5703125" customWidth="1"/>
    <col min="7" max="7" width="17.140625" customWidth="1"/>
    <col min="8" max="8" width="14.85546875" customWidth="1"/>
    <col min="10" max="10" width="13.140625" customWidth="1"/>
    <col min="11" max="11" width="12" bestFit="1" customWidth="1"/>
  </cols>
  <sheetData>
    <row r="3" spans="3:16" x14ac:dyDescent="0.25">
      <c r="C3" t="s">
        <v>90</v>
      </c>
      <c r="F3" t="s">
        <v>91</v>
      </c>
    </row>
    <row r="4" spans="3:16" x14ac:dyDescent="0.25">
      <c r="C4" s="7" t="s">
        <v>92</v>
      </c>
      <c r="D4">
        <v>28</v>
      </c>
      <c r="F4">
        <v>50</v>
      </c>
      <c r="G4">
        <v>0</v>
      </c>
      <c r="H4">
        <v>0</v>
      </c>
      <c r="I4">
        <v>7</v>
      </c>
      <c r="J4">
        <v>0</v>
      </c>
      <c r="K4">
        <v>8</v>
      </c>
      <c r="L4">
        <v>8</v>
      </c>
      <c r="M4">
        <v>0</v>
      </c>
    </row>
    <row r="5" spans="3:16" x14ac:dyDescent="0.25">
      <c r="F5" t="s">
        <v>93</v>
      </c>
      <c r="G5" t="s">
        <v>94</v>
      </c>
      <c r="H5" t="s">
        <v>95</v>
      </c>
      <c r="I5" t="s">
        <v>96</v>
      </c>
      <c r="J5" t="s">
        <v>97</v>
      </c>
      <c r="K5" t="s">
        <v>98</v>
      </c>
      <c r="L5" t="s">
        <v>99</v>
      </c>
      <c r="M5" t="s">
        <v>100</v>
      </c>
      <c r="O5" t="s">
        <v>101</v>
      </c>
    </row>
    <row r="6" spans="3:16" x14ac:dyDescent="0.25">
      <c r="C6" s="3">
        <v>23.333333333333332</v>
      </c>
      <c r="D6" s="3">
        <v>20</v>
      </c>
      <c r="E6" s="3" t="s">
        <v>102</v>
      </c>
      <c r="F6">
        <f>($D$4+D6)*$F$4</f>
        <v>2400</v>
      </c>
      <c r="G6">
        <v>0</v>
      </c>
      <c r="H6">
        <v>0</v>
      </c>
      <c r="I6">
        <f>($D$4+D6)*$I$4</f>
        <v>336</v>
      </c>
      <c r="J6">
        <v>0</v>
      </c>
      <c r="K6" s="3">
        <f>$K$4</f>
        <v>8</v>
      </c>
      <c r="L6" s="3">
        <f>$L$4</f>
        <v>8</v>
      </c>
      <c r="M6">
        <v>0</v>
      </c>
      <c r="O6">
        <v>0</v>
      </c>
      <c r="P6">
        <v>0</v>
      </c>
    </row>
    <row r="7" spans="3:16" x14ac:dyDescent="0.25">
      <c r="C7" s="3">
        <v>43.333333333333336</v>
      </c>
      <c r="D7" s="3">
        <v>25</v>
      </c>
      <c r="E7" s="3" t="s">
        <v>103</v>
      </c>
      <c r="F7">
        <f t="shared" ref="F7:F15" si="0">($D$4+D7)*$F$4</f>
        <v>2650</v>
      </c>
      <c r="G7">
        <v>0</v>
      </c>
      <c r="H7">
        <v>0</v>
      </c>
      <c r="I7">
        <f t="shared" ref="I7:I15" si="1">($D$4+D7)*$I$4</f>
        <v>371</v>
      </c>
      <c r="J7">
        <v>0</v>
      </c>
      <c r="K7" s="3">
        <f>K6</f>
        <v>8</v>
      </c>
      <c r="L7" s="3">
        <f>L6</f>
        <v>8</v>
      </c>
      <c r="M7">
        <v>0</v>
      </c>
      <c r="O7" s="3">
        <f>D7-$D$6</f>
        <v>5</v>
      </c>
      <c r="P7" s="3">
        <v>5</v>
      </c>
    </row>
    <row r="8" spans="3:16" x14ac:dyDescent="0.25">
      <c r="C8" s="3">
        <v>60</v>
      </c>
      <c r="D8" s="3">
        <v>31</v>
      </c>
      <c r="E8" s="3" t="s">
        <v>104</v>
      </c>
      <c r="F8">
        <f t="shared" si="0"/>
        <v>2950</v>
      </c>
      <c r="G8">
        <v>0</v>
      </c>
      <c r="H8">
        <v>0</v>
      </c>
      <c r="I8">
        <f t="shared" si="1"/>
        <v>413</v>
      </c>
      <c r="J8">
        <v>0</v>
      </c>
      <c r="K8" s="3">
        <f>K7</f>
        <v>8</v>
      </c>
      <c r="L8" s="3">
        <f>L7</f>
        <v>8</v>
      </c>
      <c r="M8">
        <v>0</v>
      </c>
      <c r="O8" s="3">
        <f t="shared" ref="O8:O15" si="2">D8-$D$6</f>
        <v>11</v>
      </c>
      <c r="P8" s="3">
        <v>11</v>
      </c>
    </row>
    <row r="9" spans="3:16" x14ac:dyDescent="0.25">
      <c r="C9" s="3">
        <v>88.333333333333329</v>
      </c>
      <c r="D9" s="3">
        <v>39</v>
      </c>
      <c r="E9" s="3" t="s">
        <v>105</v>
      </c>
      <c r="F9">
        <f t="shared" si="0"/>
        <v>3350</v>
      </c>
      <c r="G9">
        <v>0</v>
      </c>
      <c r="H9">
        <v>0</v>
      </c>
      <c r="I9">
        <f t="shared" si="1"/>
        <v>469</v>
      </c>
      <c r="J9">
        <v>0</v>
      </c>
      <c r="K9" s="3">
        <f>K8+1</f>
        <v>9</v>
      </c>
      <c r="L9" s="3">
        <f>L8+1</f>
        <v>9</v>
      </c>
      <c r="M9">
        <v>0</v>
      </c>
      <c r="O9" s="3">
        <f t="shared" si="2"/>
        <v>19</v>
      </c>
      <c r="P9" s="3">
        <v>19</v>
      </c>
    </row>
    <row r="10" spans="3:16" x14ac:dyDescent="0.25">
      <c r="C10" s="3">
        <v>123.33333333333333</v>
      </c>
      <c r="D10" s="3">
        <v>48</v>
      </c>
      <c r="E10" s="3" t="s">
        <v>106</v>
      </c>
      <c r="F10">
        <f t="shared" si="0"/>
        <v>3800</v>
      </c>
      <c r="G10">
        <v>0</v>
      </c>
      <c r="H10">
        <v>0</v>
      </c>
      <c r="I10">
        <f t="shared" si="1"/>
        <v>532</v>
      </c>
      <c r="J10">
        <v>0</v>
      </c>
      <c r="K10" s="3">
        <f>K9</f>
        <v>9</v>
      </c>
      <c r="L10" s="3">
        <f>L9</f>
        <v>9</v>
      </c>
      <c r="M10">
        <v>0</v>
      </c>
      <c r="O10" s="3">
        <f t="shared" si="2"/>
        <v>28</v>
      </c>
      <c r="P10" s="3">
        <v>28</v>
      </c>
    </row>
    <row r="11" spans="3:16" x14ac:dyDescent="0.25">
      <c r="C11" s="3">
        <v>143.125</v>
      </c>
      <c r="D11" s="3">
        <v>60</v>
      </c>
      <c r="E11" s="3" t="s">
        <v>107</v>
      </c>
      <c r="F11">
        <f t="shared" si="0"/>
        <v>4400</v>
      </c>
      <c r="G11">
        <v>0</v>
      </c>
      <c r="H11">
        <v>0</v>
      </c>
      <c r="I11">
        <f t="shared" si="1"/>
        <v>616</v>
      </c>
      <c r="J11">
        <v>0</v>
      </c>
      <c r="K11" s="3">
        <f>K10</f>
        <v>9</v>
      </c>
      <c r="L11" s="3">
        <f>L10</f>
        <v>9</v>
      </c>
      <c r="M11">
        <v>0</v>
      </c>
      <c r="O11" s="3">
        <f t="shared" si="2"/>
        <v>40</v>
      </c>
      <c r="P11" s="3">
        <v>40</v>
      </c>
    </row>
    <row r="12" spans="3:16" x14ac:dyDescent="0.25">
      <c r="C12" s="3">
        <v>185</v>
      </c>
      <c r="D12" s="3">
        <v>75</v>
      </c>
      <c r="E12" s="3" t="s">
        <v>108</v>
      </c>
      <c r="F12">
        <f t="shared" si="0"/>
        <v>5150</v>
      </c>
      <c r="G12">
        <v>0</v>
      </c>
      <c r="H12">
        <v>0</v>
      </c>
      <c r="I12">
        <f t="shared" si="1"/>
        <v>721</v>
      </c>
      <c r="J12">
        <v>0</v>
      </c>
      <c r="K12" s="3">
        <f>K11+1</f>
        <v>10</v>
      </c>
      <c r="L12" s="3">
        <f>L11+1</f>
        <v>10</v>
      </c>
      <c r="M12">
        <v>0</v>
      </c>
      <c r="O12" s="3">
        <f t="shared" si="2"/>
        <v>55</v>
      </c>
      <c r="P12" s="3">
        <v>55</v>
      </c>
    </row>
    <row r="13" spans="3:16" x14ac:dyDescent="0.25">
      <c r="C13" s="3">
        <v>207.5</v>
      </c>
      <c r="D13" s="3">
        <v>93</v>
      </c>
      <c r="E13" s="3" t="s">
        <v>109</v>
      </c>
      <c r="F13">
        <f t="shared" si="0"/>
        <v>6050</v>
      </c>
      <c r="G13">
        <v>0</v>
      </c>
      <c r="H13">
        <v>0</v>
      </c>
      <c r="I13">
        <f t="shared" si="1"/>
        <v>847</v>
      </c>
      <c r="J13">
        <v>0</v>
      </c>
      <c r="K13" s="3">
        <f>K12</f>
        <v>10</v>
      </c>
      <c r="L13" s="3">
        <f>L12</f>
        <v>10</v>
      </c>
      <c r="M13">
        <v>0</v>
      </c>
      <c r="O13" s="3">
        <f t="shared" si="2"/>
        <v>73</v>
      </c>
      <c r="P13" s="3">
        <v>73</v>
      </c>
    </row>
    <row r="14" spans="3:16" x14ac:dyDescent="0.25">
      <c r="C14" s="3">
        <v>220</v>
      </c>
      <c r="D14" s="3">
        <v>116</v>
      </c>
      <c r="E14" s="3" t="s">
        <v>110</v>
      </c>
      <c r="F14">
        <f t="shared" si="0"/>
        <v>7200</v>
      </c>
      <c r="G14">
        <v>0</v>
      </c>
      <c r="H14">
        <v>0</v>
      </c>
      <c r="I14">
        <f t="shared" si="1"/>
        <v>1008</v>
      </c>
      <c r="J14">
        <v>0</v>
      </c>
      <c r="K14" s="3">
        <f>K13</f>
        <v>10</v>
      </c>
      <c r="L14" s="3">
        <f>L13</f>
        <v>10</v>
      </c>
      <c r="M14">
        <v>0</v>
      </c>
      <c r="O14" s="3">
        <f t="shared" si="2"/>
        <v>96</v>
      </c>
      <c r="P14" s="3">
        <v>96</v>
      </c>
    </row>
    <row r="15" spans="3:16" x14ac:dyDescent="0.25">
      <c r="C15" s="3">
        <v>239.375</v>
      </c>
      <c r="D15" s="3">
        <v>144</v>
      </c>
      <c r="E15" s="3" t="s">
        <v>111</v>
      </c>
      <c r="F15">
        <f t="shared" si="0"/>
        <v>8600</v>
      </c>
      <c r="G15">
        <v>0</v>
      </c>
      <c r="H15">
        <v>0</v>
      </c>
      <c r="I15">
        <f t="shared" si="1"/>
        <v>1204</v>
      </c>
      <c r="J15">
        <v>0</v>
      </c>
      <c r="K15" s="3">
        <f>K14+1</f>
        <v>11</v>
      </c>
      <c r="L15" s="3">
        <f>L14+1</f>
        <v>11</v>
      </c>
      <c r="M15">
        <v>0</v>
      </c>
      <c r="O15" s="3">
        <f t="shared" si="2"/>
        <v>124</v>
      </c>
      <c r="P15" s="3">
        <v>124</v>
      </c>
    </row>
    <row r="16" spans="3:16" x14ac:dyDescent="0.25">
      <c r="D16" s="3"/>
      <c r="E16" s="3"/>
      <c r="K16" s="3"/>
      <c r="L16" s="3"/>
    </row>
    <row r="18" spans="3:13" x14ac:dyDescent="0.25">
      <c r="E18" s="3" t="s">
        <v>112</v>
      </c>
      <c r="F18">
        <f>F6</f>
        <v>2400</v>
      </c>
      <c r="G18">
        <f t="shared" ref="G18:M18" si="3">G6</f>
        <v>0</v>
      </c>
      <c r="H18">
        <f t="shared" si="3"/>
        <v>0</v>
      </c>
      <c r="I18">
        <f t="shared" si="3"/>
        <v>336</v>
      </c>
      <c r="J18">
        <f t="shared" si="3"/>
        <v>0</v>
      </c>
      <c r="K18" s="3">
        <f t="shared" si="3"/>
        <v>8</v>
      </c>
      <c r="L18" s="3">
        <f t="shared" si="3"/>
        <v>8</v>
      </c>
      <c r="M18">
        <f t="shared" si="3"/>
        <v>0</v>
      </c>
    </row>
    <row r="19" spans="3:13" x14ac:dyDescent="0.25">
      <c r="F19">
        <f>F8</f>
        <v>2950</v>
      </c>
      <c r="G19">
        <f t="shared" ref="G19:M19" si="4">G8</f>
        <v>0</v>
      </c>
      <c r="H19">
        <f t="shared" si="4"/>
        <v>0</v>
      </c>
      <c r="I19">
        <f t="shared" si="4"/>
        <v>413</v>
      </c>
      <c r="J19">
        <f t="shared" si="4"/>
        <v>0</v>
      </c>
      <c r="K19" s="3">
        <f t="shared" si="4"/>
        <v>8</v>
      </c>
      <c r="L19" s="3">
        <f t="shared" si="4"/>
        <v>8</v>
      </c>
      <c r="M19">
        <f t="shared" si="4"/>
        <v>0</v>
      </c>
    </row>
    <row r="20" spans="3:13" x14ac:dyDescent="0.25">
      <c r="F20">
        <f>F10</f>
        <v>3800</v>
      </c>
      <c r="G20">
        <f t="shared" ref="G20:M20" si="5">G10</f>
        <v>0</v>
      </c>
      <c r="H20">
        <f t="shared" si="5"/>
        <v>0</v>
      </c>
      <c r="I20">
        <f t="shared" si="5"/>
        <v>532</v>
      </c>
      <c r="J20">
        <f t="shared" si="5"/>
        <v>0</v>
      </c>
      <c r="K20" s="3">
        <f t="shared" si="5"/>
        <v>9</v>
      </c>
      <c r="L20" s="3">
        <f t="shared" si="5"/>
        <v>9</v>
      </c>
      <c r="M20">
        <f t="shared" si="5"/>
        <v>0</v>
      </c>
    </row>
    <row r="21" spans="3:13" x14ac:dyDescent="0.25">
      <c r="F21">
        <f>F12</f>
        <v>5150</v>
      </c>
      <c r="G21">
        <f t="shared" ref="G21:M21" si="6">G12</f>
        <v>0</v>
      </c>
      <c r="H21">
        <f t="shared" si="6"/>
        <v>0</v>
      </c>
      <c r="I21">
        <f t="shared" si="6"/>
        <v>721</v>
      </c>
      <c r="J21">
        <f t="shared" si="6"/>
        <v>0</v>
      </c>
      <c r="K21" s="3">
        <f t="shared" si="6"/>
        <v>10</v>
      </c>
      <c r="L21" s="3">
        <f t="shared" si="6"/>
        <v>10</v>
      </c>
      <c r="M21">
        <f t="shared" si="6"/>
        <v>0</v>
      </c>
    </row>
    <row r="22" spans="3:13" x14ac:dyDescent="0.25">
      <c r="F22">
        <f>F14</f>
        <v>7200</v>
      </c>
      <c r="G22">
        <f t="shared" ref="G22:M22" si="7">G14</f>
        <v>0</v>
      </c>
      <c r="H22">
        <f t="shared" si="7"/>
        <v>0</v>
      </c>
      <c r="I22">
        <f t="shared" si="7"/>
        <v>1008</v>
      </c>
      <c r="J22">
        <f t="shared" si="7"/>
        <v>0</v>
      </c>
      <c r="K22" s="3">
        <f t="shared" si="7"/>
        <v>10</v>
      </c>
      <c r="L22" s="3">
        <f t="shared" si="7"/>
        <v>10</v>
      </c>
      <c r="M22">
        <f t="shared" si="7"/>
        <v>0</v>
      </c>
    </row>
    <row r="25" spans="3:13" x14ac:dyDescent="0.25">
      <c r="F25" t="s">
        <v>125</v>
      </c>
    </row>
    <row r="26" spans="3:13" x14ac:dyDescent="0.25">
      <c r="C26" t="s">
        <v>113</v>
      </c>
      <c r="D26" t="s">
        <v>114</v>
      </c>
      <c r="F26">
        <v>50</v>
      </c>
      <c r="G26">
        <v>0</v>
      </c>
      <c r="H26">
        <v>0</v>
      </c>
      <c r="I26">
        <v>15</v>
      </c>
      <c r="J26">
        <v>0</v>
      </c>
      <c r="K26">
        <v>3</v>
      </c>
      <c r="L26">
        <v>3</v>
      </c>
      <c r="M26">
        <v>0</v>
      </c>
    </row>
    <row r="27" spans="3:13" x14ac:dyDescent="0.25">
      <c r="C27" t="s">
        <v>115</v>
      </c>
      <c r="D27" t="s">
        <v>116</v>
      </c>
      <c r="F27">
        <v>40</v>
      </c>
      <c r="G27">
        <v>0</v>
      </c>
      <c r="H27">
        <v>0</v>
      </c>
      <c r="I27">
        <v>5</v>
      </c>
      <c r="J27">
        <v>0</v>
      </c>
      <c r="K27">
        <v>10</v>
      </c>
      <c r="L27">
        <v>2</v>
      </c>
      <c r="M27">
        <v>0</v>
      </c>
    </row>
    <row r="28" spans="3:13" x14ac:dyDescent="0.25">
      <c r="C28" t="s">
        <v>117</v>
      </c>
      <c r="D28" t="s">
        <v>118</v>
      </c>
      <c r="F28">
        <v>50</v>
      </c>
      <c r="G28">
        <v>0</v>
      </c>
      <c r="H28">
        <v>0</v>
      </c>
      <c r="I28">
        <v>7</v>
      </c>
      <c r="J28">
        <v>0</v>
      </c>
      <c r="K28">
        <v>8</v>
      </c>
      <c r="L28">
        <v>8</v>
      </c>
      <c r="M28">
        <v>0</v>
      </c>
    </row>
    <row r="29" spans="3:13" x14ac:dyDescent="0.25">
      <c r="C29" t="s">
        <v>119</v>
      </c>
      <c r="D29" t="s">
        <v>120</v>
      </c>
      <c r="F29">
        <v>80</v>
      </c>
      <c r="G29">
        <v>0</v>
      </c>
      <c r="H29">
        <v>0</v>
      </c>
      <c r="I29">
        <v>8</v>
      </c>
      <c r="J29">
        <v>0</v>
      </c>
      <c r="K29">
        <v>2</v>
      </c>
      <c r="L29">
        <v>4</v>
      </c>
      <c r="M29">
        <v>0</v>
      </c>
    </row>
    <row r="30" spans="3:13" x14ac:dyDescent="0.25">
      <c r="D30" t="s">
        <v>121</v>
      </c>
      <c r="F30">
        <v>50</v>
      </c>
      <c r="G30">
        <v>0</v>
      </c>
      <c r="H30">
        <v>0</v>
      </c>
      <c r="I30">
        <v>30</v>
      </c>
      <c r="J30">
        <v>0</v>
      </c>
      <c r="K30">
        <v>0</v>
      </c>
      <c r="L30">
        <v>8</v>
      </c>
      <c r="M30">
        <v>0</v>
      </c>
    </row>
    <row r="31" spans="3:13" x14ac:dyDescent="0.25">
      <c r="D31" t="s">
        <v>122</v>
      </c>
      <c r="F31">
        <v>35</v>
      </c>
      <c r="G31">
        <v>0</v>
      </c>
      <c r="H31">
        <v>0</v>
      </c>
      <c r="I31">
        <v>5</v>
      </c>
      <c r="J31">
        <v>0</v>
      </c>
      <c r="K31">
        <v>14</v>
      </c>
      <c r="L31">
        <v>0</v>
      </c>
      <c r="M3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514"/>
  <sheetViews>
    <sheetView tabSelected="1" topLeftCell="A254" zoomScale="85" zoomScaleNormal="85" workbookViewId="0">
      <selection activeCell="Q274" sqref="Q274"/>
    </sheetView>
  </sheetViews>
  <sheetFormatPr defaultRowHeight="15" x14ac:dyDescent="0.25"/>
  <cols>
    <col min="1" max="1" width="21.42578125" bestFit="1" customWidth="1"/>
    <col min="2" max="2" width="10" bestFit="1" customWidth="1"/>
    <col min="3" max="3" width="13" customWidth="1"/>
    <col min="4" max="4" width="27.42578125" customWidth="1"/>
    <col min="5" max="5" width="27.5703125" customWidth="1"/>
    <col min="6" max="6" width="11.5703125" style="16" bestFit="1" customWidth="1"/>
    <col min="7" max="7" width="11" bestFit="1" customWidth="1"/>
    <col min="8" max="8" width="6.5703125" bestFit="1" customWidth="1"/>
    <col min="9" max="9" width="6.28515625" style="24" bestFit="1" customWidth="1"/>
    <col min="10" max="10" width="7" bestFit="1" customWidth="1"/>
    <col min="11" max="11" width="8.28515625" bestFit="1" customWidth="1"/>
    <col min="12" max="12" width="11" bestFit="1" customWidth="1"/>
    <col min="13" max="13" width="11.5703125" bestFit="1" customWidth="1"/>
    <col min="14" max="14" width="12.28515625" style="16" bestFit="1" customWidth="1"/>
    <col min="15" max="15" width="11.5703125" bestFit="1" customWidth="1"/>
    <col min="16" max="16" width="9.140625" bestFit="1" customWidth="1"/>
    <col min="17" max="17" width="6.140625" bestFit="1" customWidth="1"/>
    <col min="18" max="18" width="6" bestFit="1" customWidth="1"/>
    <col min="19" max="19" width="7.42578125" style="21" bestFit="1" customWidth="1"/>
    <col min="20" max="20" width="13" bestFit="1" customWidth="1"/>
    <col min="21" max="21" width="9.28515625" bestFit="1" customWidth="1"/>
    <col min="22" max="22" width="14.28515625" bestFit="1" customWidth="1"/>
    <col min="23" max="23" width="21" customWidth="1"/>
    <col min="24" max="24" width="9.85546875" bestFit="1" customWidth="1"/>
    <col min="25" max="25" width="9.7109375" bestFit="1" customWidth="1"/>
    <col min="26" max="26" width="12.5703125" bestFit="1" customWidth="1"/>
  </cols>
  <sheetData>
    <row r="1" spans="1:25" x14ac:dyDescent="0.25">
      <c r="A1" t="s">
        <v>127</v>
      </c>
      <c r="B1" t="s">
        <v>128</v>
      </c>
      <c r="C1" t="s">
        <v>129</v>
      </c>
      <c r="D1" t="s">
        <v>130</v>
      </c>
      <c r="E1" t="s">
        <v>131</v>
      </c>
      <c r="F1" s="16" t="s">
        <v>93</v>
      </c>
      <c r="G1" t="s">
        <v>94</v>
      </c>
      <c r="H1" s="37" t="s">
        <v>242</v>
      </c>
      <c r="I1" s="24" t="s">
        <v>96</v>
      </c>
      <c r="J1" t="s">
        <v>97</v>
      </c>
      <c r="K1" t="s">
        <v>98</v>
      </c>
      <c r="L1" t="s">
        <v>99</v>
      </c>
      <c r="M1" t="s">
        <v>100</v>
      </c>
      <c r="N1" s="16" t="s">
        <v>132</v>
      </c>
      <c r="O1" t="s">
        <v>133</v>
      </c>
      <c r="P1" t="s">
        <v>134</v>
      </c>
      <c r="Q1" t="s">
        <v>135</v>
      </c>
      <c r="R1" t="s">
        <v>136</v>
      </c>
      <c r="S1" s="21" t="s">
        <v>69</v>
      </c>
      <c r="T1" t="s">
        <v>137</v>
      </c>
      <c r="U1" t="s">
        <v>138</v>
      </c>
      <c r="V1" t="s">
        <v>139</v>
      </c>
      <c r="W1" t="s">
        <v>140</v>
      </c>
      <c r="X1" t="s">
        <v>141</v>
      </c>
      <c r="Y1" t="s">
        <v>142</v>
      </c>
    </row>
    <row r="3" spans="1:25" x14ac:dyDescent="0.25">
      <c r="A3" t="s">
        <v>203</v>
      </c>
      <c r="C3" s="48" t="s">
        <v>210</v>
      </c>
      <c r="D3" s="49"/>
      <c r="E3" s="49"/>
      <c r="F3" s="49"/>
      <c r="G3" s="49"/>
      <c r="H3" s="49"/>
      <c r="I3" s="49"/>
      <c r="J3" s="49"/>
      <c r="K3" s="49"/>
      <c r="L3" s="49"/>
      <c r="M3" s="50"/>
    </row>
    <row r="4" spans="1:25" x14ac:dyDescent="0.25">
      <c r="A4" t="s">
        <v>203</v>
      </c>
      <c r="C4" s="16" t="s">
        <v>207</v>
      </c>
      <c r="D4" s="15"/>
      <c r="E4" t="s">
        <v>113</v>
      </c>
      <c r="F4" s="16">
        <v>50</v>
      </c>
      <c r="G4" s="38">
        <v>0.6</v>
      </c>
      <c r="H4" s="15">
        <v>2</v>
      </c>
      <c r="I4" s="38">
        <v>0.4</v>
      </c>
      <c r="J4" s="15">
        <v>0</v>
      </c>
      <c r="K4" s="15">
        <v>4</v>
      </c>
      <c r="L4" s="15">
        <v>1</v>
      </c>
      <c r="M4" s="15">
        <v>0</v>
      </c>
    </row>
    <row r="5" spans="1:25" x14ac:dyDescent="0.25">
      <c r="A5" t="s">
        <v>203</v>
      </c>
      <c r="C5" s="16" t="s">
        <v>116</v>
      </c>
      <c r="D5" s="15"/>
      <c r="E5" t="s">
        <v>115</v>
      </c>
      <c r="F5" s="16">
        <v>40</v>
      </c>
      <c r="G5" s="38">
        <v>0.6</v>
      </c>
      <c r="H5" s="15">
        <v>1</v>
      </c>
      <c r="I5" s="38">
        <v>0.4</v>
      </c>
      <c r="J5" s="15">
        <v>0</v>
      </c>
      <c r="K5" s="15">
        <v>4</v>
      </c>
      <c r="L5" s="15">
        <v>1</v>
      </c>
      <c r="M5" s="15">
        <v>0</v>
      </c>
    </row>
    <row r="6" spans="1:25" x14ac:dyDescent="0.25">
      <c r="A6" t="s">
        <v>203</v>
      </c>
      <c r="C6" s="16" t="s">
        <v>118</v>
      </c>
      <c r="D6" s="15"/>
      <c r="E6" t="s">
        <v>117</v>
      </c>
      <c r="F6" s="16">
        <v>55</v>
      </c>
      <c r="G6" s="38">
        <v>0.6</v>
      </c>
      <c r="H6" s="15">
        <v>1</v>
      </c>
      <c r="I6" s="38">
        <v>0.4</v>
      </c>
      <c r="J6" s="15">
        <v>0</v>
      </c>
      <c r="K6" s="15">
        <v>4</v>
      </c>
      <c r="L6" s="15">
        <v>1</v>
      </c>
      <c r="M6" s="15">
        <v>0</v>
      </c>
    </row>
    <row r="7" spans="1:25" x14ac:dyDescent="0.25">
      <c r="A7" t="s">
        <v>203</v>
      </c>
      <c r="C7" s="16" t="s">
        <v>120</v>
      </c>
      <c r="D7" s="15"/>
      <c r="E7" t="s">
        <v>119</v>
      </c>
      <c r="F7" s="16">
        <v>80</v>
      </c>
      <c r="G7" s="38">
        <v>0.6</v>
      </c>
      <c r="H7" s="15">
        <v>1</v>
      </c>
      <c r="I7" s="38">
        <v>0.4</v>
      </c>
      <c r="J7" s="15">
        <v>0</v>
      </c>
      <c r="K7" s="15">
        <v>4</v>
      </c>
      <c r="L7" s="15">
        <v>1</v>
      </c>
      <c r="M7" s="15">
        <v>0</v>
      </c>
    </row>
    <row r="8" spans="1:25" x14ac:dyDescent="0.25">
      <c r="A8" t="s">
        <v>203</v>
      </c>
      <c r="C8" s="16" t="s">
        <v>121</v>
      </c>
      <c r="D8" s="15"/>
      <c r="E8" s="15"/>
      <c r="F8" s="16">
        <v>150</v>
      </c>
      <c r="G8" s="38">
        <v>2</v>
      </c>
      <c r="H8" s="15">
        <v>1</v>
      </c>
      <c r="I8" s="38">
        <v>1</v>
      </c>
      <c r="J8" s="15">
        <v>0</v>
      </c>
      <c r="K8" s="15">
        <v>2</v>
      </c>
      <c r="L8" s="15">
        <v>2</v>
      </c>
      <c r="M8" s="15">
        <v>0</v>
      </c>
    </row>
    <row r="9" spans="1:25" x14ac:dyDescent="0.25">
      <c r="A9" t="s">
        <v>203</v>
      </c>
      <c r="C9" s="25" t="s">
        <v>122</v>
      </c>
      <c r="D9" s="26"/>
      <c r="E9" s="26"/>
      <c r="F9" s="25">
        <v>35</v>
      </c>
      <c r="G9" s="39">
        <v>0.3</v>
      </c>
      <c r="H9" s="26">
        <v>1</v>
      </c>
      <c r="I9" s="39">
        <v>0.4</v>
      </c>
      <c r="J9" s="26">
        <v>0</v>
      </c>
      <c r="K9" s="26">
        <v>4</v>
      </c>
      <c r="L9" s="26">
        <v>1</v>
      </c>
      <c r="M9" s="26">
        <v>0</v>
      </c>
    </row>
    <row r="10" spans="1:25" x14ac:dyDescent="0.25">
      <c r="A10" t="s">
        <v>203</v>
      </c>
      <c r="B10" s="15"/>
      <c r="C10" s="15"/>
      <c r="D10" s="15"/>
      <c r="E10" s="15"/>
    </row>
    <row r="11" spans="1:25" x14ac:dyDescent="0.25">
      <c r="A11" t="s">
        <v>203</v>
      </c>
      <c r="B11" s="44" t="s">
        <v>211</v>
      </c>
      <c r="C11" s="45"/>
      <c r="D11" s="46"/>
      <c r="E11" s="15"/>
      <c r="J11" s="5"/>
      <c r="K11" s="47" t="s">
        <v>209</v>
      </c>
      <c r="L11" s="45"/>
      <c r="M11" s="46"/>
      <c r="N11" s="4"/>
      <c r="O11" s="5"/>
      <c r="P11" s="6"/>
    </row>
    <row r="12" spans="1:25" x14ac:dyDescent="0.25">
      <c r="A12" t="s">
        <v>203</v>
      </c>
      <c r="B12" s="4" t="s">
        <v>197</v>
      </c>
      <c r="C12" s="5" t="s">
        <v>206</v>
      </c>
      <c r="D12" s="6" t="s">
        <v>101</v>
      </c>
      <c r="E12" s="15"/>
      <c r="J12" s="15" t="s">
        <v>195</v>
      </c>
      <c r="K12" s="5" t="s">
        <v>1</v>
      </c>
      <c r="L12" s="15" t="s">
        <v>2</v>
      </c>
      <c r="M12" s="15" t="s">
        <v>194</v>
      </c>
      <c r="O12" s="15"/>
      <c r="P12" s="21"/>
    </row>
    <row r="13" spans="1:25" x14ac:dyDescent="0.25">
      <c r="A13" t="s">
        <v>203</v>
      </c>
      <c r="B13" s="16">
        <v>0</v>
      </c>
      <c r="C13" s="15">
        <v>0</v>
      </c>
      <c r="D13" s="21">
        <v>0</v>
      </c>
      <c r="E13" s="17"/>
      <c r="J13" s="15">
        <v>20</v>
      </c>
      <c r="K13" s="15">
        <v>0.1</v>
      </c>
      <c r="L13" s="15">
        <v>1000</v>
      </c>
      <c r="M13" s="15">
        <v>21000</v>
      </c>
      <c r="O13" s="15"/>
      <c r="P13" s="21"/>
    </row>
    <row r="14" spans="1:25" x14ac:dyDescent="0.25">
      <c r="A14" t="s">
        <v>203</v>
      </c>
      <c r="B14" s="27">
        <v>1</v>
      </c>
      <c r="C14" s="17">
        <v>20</v>
      </c>
      <c r="D14" s="24">
        <f t="shared" ref="D14:D28" si="0">C14-$C$14</f>
        <v>0</v>
      </c>
      <c r="E14" s="15"/>
      <c r="J14" s="15"/>
      <c r="K14" s="18"/>
      <c r="L14" s="15"/>
      <c r="M14" s="15"/>
      <c r="O14" s="15"/>
      <c r="P14" s="21"/>
      <c r="Y14" s="3"/>
    </row>
    <row r="15" spans="1:25" x14ac:dyDescent="0.25">
      <c r="A15" t="s">
        <v>203</v>
      </c>
      <c r="B15" s="27">
        <v>2</v>
      </c>
      <c r="C15" s="17">
        <v>23</v>
      </c>
      <c r="D15" s="24">
        <f t="shared" si="0"/>
        <v>3</v>
      </c>
      <c r="E15" s="19"/>
      <c r="J15" s="15"/>
      <c r="K15" s="19" t="s">
        <v>197</v>
      </c>
      <c r="L15" s="19" t="s">
        <v>5</v>
      </c>
      <c r="M15" s="19" t="s">
        <v>8</v>
      </c>
      <c r="N15" s="32" t="s">
        <v>9</v>
      </c>
      <c r="O15" s="19" t="s">
        <v>29</v>
      </c>
      <c r="P15" s="22" t="s">
        <v>84</v>
      </c>
      <c r="Y15" s="3"/>
    </row>
    <row r="16" spans="1:25" x14ac:dyDescent="0.25">
      <c r="A16" t="s">
        <v>203</v>
      </c>
      <c r="B16" s="27">
        <v>3</v>
      </c>
      <c r="C16" s="17">
        <v>28</v>
      </c>
      <c r="D16" s="24">
        <f t="shared" si="0"/>
        <v>8</v>
      </c>
      <c r="E16" s="17"/>
      <c r="J16" s="15"/>
      <c r="K16" s="15">
        <f>1</f>
        <v>1</v>
      </c>
      <c r="L16" s="20">
        <f>GetValue(K16,$J$13,$K$13,$L$13,$M$13)</f>
        <v>1000</v>
      </c>
      <c r="M16" s="17">
        <f>ROUND(L16,0)</f>
        <v>1000</v>
      </c>
      <c r="N16" s="27">
        <f t="shared" ref="N16:N30" si="1">ROUND(L16,-1)</f>
        <v>1000</v>
      </c>
      <c r="O16" s="23" t="str">
        <f>TEXT(N16/86400,CHOOSE(MATCH(N16,{0,60,3600},1),":ss","m:ss","[h]:mm:ss"))</f>
        <v>16:40</v>
      </c>
      <c r="P16" s="24">
        <f>N16</f>
        <v>1000</v>
      </c>
      <c r="Y16" s="3"/>
    </row>
    <row r="17" spans="1:25" x14ac:dyDescent="0.25">
      <c r="A17" t="s">
        <v>203</v>
      </c>
      <c r="B17" s="27">
        <v>4</v>
      </c>
      <c r="C17" s="17">
        <v>34</v>
      </c>
      <c r="D17" s="24">
        <f t="shared" si="0"/>
        <v>14</v>
      </c>
      <c r="E17" s="17"/>
      <c r="J17" s="15"/>
      <c r="K17" s="15">
        <v>2</v>
      </c>
      <c r="L17" s="20">
        <f t="shared" ref="L17:L30" si="2">GetValue(K17,$J$13,$K$13,$L$13,$M$13)</f>
        <v>1346.0659135979627</v>
      </c>
      <c r="M17" s="17">
        <f t="shared" ref="M17:M30" si="3">ROUND(L17,0)</f>
        <v>1346</v>
      </c>
      <c r="N17" s="27">
        <f t="shared" si="1"/>
        <v>1350</v>
      </c>
      <c r="O17" s="23" t="str">
        <f>TEXT(N17/86400,CHOOSE(MATCH(N17,{0,60,3600},1),":ss","m:ss","[h]:mm:ss"))</f>
        <v>22:30</v>
      </c>
      <c r="P17" s="24">
        <f>N18</f>
        <v>1730</v>
      </c>
      <c r="Y17" s="3"/>
    </row>
    <row r="18" spans="1:25" x14ac:dyDescent="0.25">
      <c r="A18" t="s">
        <v>203</v>
      </c>
      <c r="B18" s="27">
        <v>5</v>
      </c>
      <c r="C18" s="17">
        <v>39</v>
      </c>
      <c r="D18" s="24">
        <f t="shared" si="0"/>
        <v>19</v>
      </c>
      <c r="E18" s="17"/>
      <c r="J18" s="15"/>
      <c r="K18" s="15">
        <v>3</v>
      </c>
      <c r="L18" s="20">
        <f t="shared" si="2"/>
        <v>1728.527897613624</v>
      </c>
      <c r="M18" s="17">
        <f t="shared" si="3"/>
        <v>1729</v>
      </c>
      <c r="N18" s="27">
        <f t="shared" si="1"/>
        <v>1730</v>
      </c>
      <c r="O18" s="23" t="str">
        <f>TEXT(N18/86400,CHOOSE(MATCH(N18,{0,60,3600},1),":ss","m:ss","[h]:mm:ss"))</f>
        <v>28:50</v>
      </c>
      <c r="P18" s="24">
        <f>N20</f>
        <v>2620</v>
      </c>
      <c r="Y18" s="3"/>
    </row>
    <row r="19" spans="1:25" x14ac:dyDescent="0.25">
      <c r="A19" t="s">
        <v>203</v>
      </c>
      <c r="B19" s="27">
        <v>6</v>
      </c>
      <c r="C19" s="17">
        <v>45</v>
      </c>
      <c r="D19" s="24">
        <f t="shared" si="0"/>
        <v>25</v>
      </c>
      <c r="E19" s="17"/>
      <c r="J19" s="15"/>
      <c r="K19" s="15">
        <v>4</v>
      </c>
      <c r="L19" s="20">
        <f t="shared" si="2"/>
        <v>2151.2137602470966</v>
      </c>
      <c r="M19" s="17">
        <f t="shared" si="3"/>
        <v>2151</v>
      </c>
      <c r="N19" s="27">
        <f t="shared" si="1"/>
        <v>2150</v>
      </c>
      <c r="O19" s="23" t="str">
        <f>TEXT(N19/86400,CHOOSE(MATCH(N19,{0,60,3600},1),":ss","m:ss","[h]:mm:ss"))</f>
        <v>35:50</v>
      </c>
      <c r="P19" s="24">
        <f>N22</f>
        <v>3710</v>
      </c>
      <c r="Y19" s="3"/>
    </row>
    <row r="20" spans="1:25" x14ac:dyDescent="0.25">
      <c r="A20" t="s">
        <v>203</v>
      </c>
      <c r="B20" s="27">
        <v>7</v>
      </c>
      <c r="C20" s="17">
        <v>52</v>
      </c>
      <c r="D20" s="24">
        <f t="shared" si="0"/>
        <v>32</v>
      </c>
      <c r="E20" s="17"/>
      <c r="J20" s="15"/>
      <c r="K20" s="15">
        <v>5</v>
      </c>
      <c r="L20" s="20">
        <f t="shared" si="2"/>
        <v>2618.3538838074223</v>
      </c>
      <c r="M20" s="17">
        <f t="shared" si="3"/>
        <v>2618</v>
      </c>
      <c r="N20" s="27">
        <f t="shared" si="1"/>
        <v>2620</v>
      </c>
      <c r="O20" s="23" t="str">
        <f>TEXT(N20/86400,CHOOSE(MATCH(N20,{0,60,3600},1),":ss","m:ss","[h]:mm:ss"))</f>
        <v>43:40</v>
      </c>
      <c r="P20" s="24">
        <f>N24</f>
        <v>5030</v>
      </c>
      <c r="Y20" s="3"/>
    </row>
    <row r="21" spans="1:25" x14ac:dyDescent="0.25">
      <c r="A21" t="s">
        <v>203</v>
      </c>
      <c r="B21" s="27">
        <v>8</v>
      </c>
      <c r="C21" s="17">
        <v>59</v>
      </c>
      <c r="D21" s="24">
        <f t="shared" si="0"/>
        <v>39</v>
      </c>
      <c r="E21" s="17"/>
      <c r="J21" s="15"/>
      <c r="K21" s="15">
        <v>6</v>
      </c>
      <c r="L21" s="20">
        <f t="shared" si="2"/>
        <v>3134.6235638018597</v>
      </c>
      <c r="M21" s="17">
        <f t="shared" si="3"/>
        <v>3135</v>
      </c>
      <c r="N21" s="27">
        <f t="shared" si="1"/>
        <v>3130</v>
      </c>
      <c r="O21" s="23" t="str">
        <f>TEXT(N21/86400,CHOOSE(MATCH(N21,{0,60,3600},1),":ss","m:ss","[h]:mm:ss"))</f>
        <v>52:10</v>
      </c>
      <c r="P21" s="21"/>
      <c r="Y21" s="3"/>
    </row>
    <row r="22" spans="1:25" x14ac:dyDescent="0.25">
      <c r="A22" t="s">
        <v>203</v>
      </c>
      <c r="B22" s="27">
        <v>9</v>
      </c>
      <c r="C22" s="17">
        <v>67</v>
      </c>
      <c r="D22" s="24">
        <f t="shared" si="0"/>
        <v>47</v>
      </c>
      <c r="E22" s="3"/>
      <c r="J22" s="15"/>
      <c r="K22" s="15">
        <v>7</v>
      </c>
      <c r="L22" s="20">
        <f t="shared" si="2"/>
        <v>3705.1898008661442</v>
      </c>
      <c r="M22" s="17">
        <f t="shared" si="3"/>
        <v>3705</v>
      </c>
      <c r="N22" s="27">
        <f t="shared" si="1"/>
        <v>3710</v>
      </c>
      <c r="O22" s="23" t="str">
        <f>TEXT(N22/86400,CHOOSE(MATCH(N22,{0,60,3600},1),":ss","m:ss","[h]:mm:ss"))</f>
        <v>1:01:50</v>
      </c>
      <c r="P22" s="21"/>
      <c r="Y22" s="3"/>
    </row>
    <row r="23" spans="1:25" x14ac:dyDescent="0.25">
      <c r="A23" t="s">
        <v>203</v>
      </c>
      <c r="B23" s="28">
        <v>10</v>
      </c>
      <c r="C23" s="17">
        <v>76</v>
      </c>
      <c r="D23" s="24">
        <f t="shared" si="0"/>
        <v>56</v>
      </c>
      <c r="E23" s="3"/>
      <c r="J23" s="15"/>
      <c r="K23" s="15">
        <v>8</v>
      </c>
      <c r="L23" s="20">
        <f t="shared" si="2"/>
        <v>4335.7630138450731</v>
      </c>
      <c r="M23" s="17">
        <f t="shared" si="3"/>
        <v>4336</v>
      </c>
      <c r="N23" s="27">
        <f t="shared" si="1"/>
        <v>4340</v>
      </c>
      <c r="O23" s="23" t="str">
        <f>TEXT(N23/86400,CHOOSE(MATCH(N23,{0,60,3600},1),":ss","m:ss","[h]:mm:ss"))</f>
        <v>1:12:20</v>
      </c>
      <c r="P23" s="21"/>
      <c r="Y23" s="3"/>
    </row>
    <row r="24" spans="1:25" x14ac:dyDescent="0.25">
      <c r="A24" t="s">
        <v>203</v>
      </c>
      <c r="B24" s="28">
        <v>11</v>
      </c>
      <c r="C24" s="17">
        <v>85</v>
      </c>
      <c r="D24" s="24">
        <f t="shared" si="0"/>
        <v>65</v>
      </c>
      <c r="E24" s="3"/>
      <c r="J24" s="15"/>
      <c r="K24" s="15">
        <v>9</v>
      </c>
      <c r="L24" s="20">
        <f t="shared" si="2"/>
        <v>5032.6541915853568</v>
      </c>
      <c r="M24" s="17">
        <f t="shared" si="3"/>
        <v>5033</v>
      </c>
      <c r="N24" s="27">
        <f t="shared" si="1"/>
        <v>5030</v>
      </c>
      <c r="O24" s="23" t="str">
        <f>TEXT(N24/86400,CHOOSE(MATCH(N24,{0,60,3600},1),":ss","m:ss","[h]:mm:ss"))</f>
        <v>1:23:50</v>
      </c>
      <c r="P24" s="21"/>
      <c r="Y24" s="3"/>
    </row>
    <row r="25" spans="1:25" x14ac:dyDescent="0.25">
      <c r="A25" t="s">
        <v>203</v>
      </c>
      <c r="B25" s="28">
        <v>12</v>
      </c>
      <c r="C25" s="17">
        <v>95</v>
      </c>
      <c r="D25" s="24">
        <f t="shared" si="0"/>
        <v>75</v>
      </c>
      <c r="E25" s="3"/>
      <c r="J25" s="15"/>
      <c r="K25" s="15">
        <v>10</v>
      </c>
      <c r="L25" s="20">
        <f t="shared" si="2"/>
        <v>5802.8380554350679</v>
      </c>
      <c r="M25" s="40">
        <f t="shared" si="3"/>
        <v>5803</v>
      </c>
      <c r="N25" s="41">
        <f t="shared" si="1"/>
        <v>5800</v>
      </c>
      <c r="O25" s="42" t="str">
        <f>TEXT(N25/86400,CHOOSE(MATCH(N25,{0,60,3600},1),":ss","m:ss","[h]:mm:ss"))</f>
        <v>1:36:40</v>
      </c>
      <c r="P25" s="21"/>
      <c r="Y25" s="3"/>
    </row>
    <row r="26" spans="1:25" x14ac:dyDescent="0.25">
      <c r="A26" t="s">
        <v>203</v>
      </c>
      <c r="B26" s="28">
        <v>13</v>
      </c>
      <c r="C26" s="17">
        <v>106</v>
      </c>
      <c r="D26" s="24">
        <f t="shared" si="0"/>
        <v>86</v>
      </c>
      <c r="E26" s="3"/>
      <c r="J26" s="15"/>
      <c r="K26" s="15">
        <v>11</v>
      </c>
      <c r="L26" s="20">
        <f t="shared" si="2"/>
        <v>6654.0228646012665</v>
      </c>
      <c r="M26" s="40">
        <f t="shared" si="3"/>
        <v>6654</v>
      </c>
      <c r="N26" s="41">
        <f t="shared" si="1"/>
        <v>6650</v>
      </c>
      <c r="O26" s="42" t="str">
        <f>TEXT(N26/86400,CHOOSE(MATCH(N26,{0,60,3600},1),":ss","m:ss","[h]:mm:ss"))</f>
        <v>1:50:50</v>
      </c>
      <c r="P26" s="21"/>
      <c r="Y26" s="3"/>
    </row>
    <row r="27" spans="1:25" x14ac:dyDescent="0.25">
      <c r="A27" t="s">
        <v>203</v>
      </c>
      <c r="B27" s="28">
        <v>14</v>
      </c>
      <c r="C27" s="17">
        <v>117</v>
      </c>
      <c r="D27" s="24">
        <f t="shared" si="0"/>
        <v>97</v>
      </c>
      <c r="E27" s="3"/>
      <c r="J27" s="15"/>
      <c r="K27" s="15">
        <v>12</v>
      </c>
      <c r="L27" s="20">
        <f t="shared" si="2"/>
        <v>7594.72756300128</v>
      </c>
      <c r="M27" s="40">
        <f t="shared" si="3"/>
        <v>7595</v>
      </c>
      <c r="N27" s="41">
        <f t="shared" si="1"/>
        <v>7590</v>
      </c>
      <c r="O27" s="42" t="str">
        <f>TEXT(N27/86400,CHOOSE(MATCH(N27,{0,60,3600},1),":ss","m:ss","[h]:mm:ss"))</f>
        <v>2:06:30</v>
      </c>
      <c r="P27" s="21"/>
      <c r="Y27" s="3"/>
    </row>
    <row r="28" spans="1:25" x14ac:dyDescent="0.25">
      <c r="A28" t="s">
        <v>203</v>
      </c>
      <c r="B28" s="29">
        <v>15</v>
      </c>
      <c r="C28" s="30">
        <v>130</v>
      </c>
      <c r="D28" s="31">
        <f t="shared" si="0"/>
        <v>110</v>
      </c>
      <c r="E28" s="3"/>
      <c r="J28" s="15"/>
      <c r="K28" s="15">
        <v>13</v>
      </c>
      <c r="L28" s="20">
        <f t="shared" si="2"/>
        <v>8634.36703971928</v>
      </c>
      <c r="M28" s="40">
        <f t="shared" si="3"/>
        <v>8634</v>
      </c>
      <c r="N28" s="41">
        <f t="shared" si="1"/>
        <v>8630</v>
      </c>
      <c r="O28" s="42" t="str">
        <f>TEXT(N28/86400,CHOOSE(MATCH(N28,{0,60,3600},1),":ss","m:ss","[h]:mm:ss"))</f>
        <v>2:23:50</v>
      </c>
      <c r="P28" s="21"/>
      <c r="Y28" s="3"/>
    </row>
    <row r="29" spans="1:25" x14ac:dyDescent="0.25">
      <c r="A29" t="s">
        <v>203</v>
      </c>
      <c r="C29" s="2"/>
      <c r="D29" s="3"/>
      <c r="E29" s="3"/>
      <c r="J29" s="16"/>
      <c r="K29" s="15">
        <v>14</v>
      </c>
      <c r="L29" s="20">
        <f t="shared" si="2"/>
        <v>9783.3463563835121</v>
      </c>
      <c r="M29" s="43">
        <f t="shared" si="3"/>
        <v>9783</v>
      </c>
      <c r="N29" s="40">
        <f t="shared" si="1"/>
        <v>9780</v>
      </c>
      <c r="O29" s="42" t="str">
        <f>TEXT(N29/86400,CHOOSE(MATCH(N29,{0,60,3600},1),":ss","m:ss","[h]:mm:ss"))</f>
        <v>2:43:00</v>
      </c>
      <c r="P29" s="21"/>
    </row>
    <row r="30" spans="1:25" x14ac:dyDescent="0.25">
      <c r="A30" t="s">
        <v>203</v>
      </c>
      <c r="C30" s="2"/>
      <c r="D30" s="3"/>
      <c r="E30" s="3"/>
      <c r="F30" s="34"/>
      <c r="I30" s="17"/>
      <c r="J30" s="16"/>
      <c r="K30" s="15">
        <v>15</v>
      </c>
      <c r="L30" s="20">
        <f t="shared" si="2"/>
        <v>11053.164884523427</v>
      </c>
      <c r="M30" s="43">
        <f t="shared" si="3"/>
        <v>11053</v>
      </c>
      <c r="N30" s="40">
        <f t="shared" si="1"/>
        <v>11050</v>
      </c>
      <c r="O30" s="42" t="str">
        <f>TEXT(N30/86400,CHOOSE(MATCH(N30,{0,60,3600},1),":ss","m:ss","[h]:mm:ss"))</f>
        <v>3:04:10</v>
      </c>
      <c r="P30" s="21"/>
    </row>
    <row r="31" spans="1:25" s="37" customFormat="1" x14ac:dyDescent="0.25">
      <c r="C31" s="2"/>
      <c r="D31" s="3"/>
      <c r="E31" s="3"/>
      <c r="F31" s="34"/>
      <c r="I31" s="24"/>
      <c r="J31" s="16"/>
      <c r="K31" s="15">
        <v>16</v>
      </c>
      <c r="L31" s="20">
        <f t="shared" ref="L31:L35" si="4">GetValue(K31,$J$13,$K$13,$L$13,$M$13)</f>
        <v>12456.531395148464</v>
      </c>
      <c r="M31" s="43">
        <f t="shared" ref="M31:M35" si="5">ROUND(L31,0)</f>
        <v>12457</v>
      </c>
      <c r="N31" s="40">
        <f t="shared" ref="N31:N35" si="6">ROUND(L31,-1)</f>
        <v>12460</v>
      </c>
      <c r="O31" s="42" t="str">
        <f>TEXT(N31/86400,CHOOSE(MATCH(N31,{0,60,3600},1),":ss","m:ss","[h]:mm:ss"))</f>
        <v>3:27:40</v>
      </c>
      <c r="P31" s="21"/>
      <c r="S31" s="21"/>
    </row>
    <row r="32" spans="1:25" s="37" customFormat="1" x14ac:dyDescent="0.25">
      <c r="C32" s="2"/>
      <c r="D32" s="3"/>
      <c r="E32" s="3"/>
      <c r="F32" s="34"/>
      <c r="I32" s="24"/>
      <c r="J32" s="16"/>
      <c r="K32" s="15">
        <v>17</v>
      </c>
      <c r="L32" s="20">
        <f t="shared" si="4"/>
        <v>14007.491252403666</v>
      </c>
      <c r="M32" s="43">
        <f t="shared" si="5"/>
        <v>14007</v>
      </c>
      <c r="N32" s="40">
        <f t="shared" si="6"/>
        <v>14010</v>
      </c>
      <c r="O32" s="42" t="str">
        <f>TEXT(N32/86400,CHOOSE(MATCH(N32,{0,60,3600},1),":ss","m:ss","[h]:mm:ss"))</f>
        <v>3:53:30</v>
      </c>
      <c r="P32" s="21"/>
      <c r="S32" s="21"/>
    </row>
    <row r="33" spans="1:25" s="37" customFormat="1" x14ac:dyDescent="0.25">
      <c r="C33" s="2"/>
      <c r="D33" s="3"/>
      <c r="E33" s="3"/>
      <c r="F33" s="34"/>
      <c r="I33" s="24"/>
      <c r="J33" s="16"/>
      <c r="K33" s="15">
        <v>18</v>
      </c>
      <c r="L33" s="20">
        <f t="shared" si="4"/>
        <v>15721.566984299043</v>
      </c>
      <c r="M33" s="43">
        <f t="shared" si="5"/>
        <v>15722</v>
      </c>
      <c r="N33" s="40">
        <f t="shared" si="6"/>
        <v>15720</v>
      </c>
      <c r="O33" s="42" t="str">
        <f>TEXT(N33/86400,CHOOSE(MATCH(N33,{0,60,3600},1),":ss","m:ss","[h]:mm:ss"))</f>
        <v>4:22:00</v>
      </c>
      <c r="P33" s="21"/>
      <c r="S33" s="21"/>
    </row>
    <row r="34" spans="1:25" s="37" customFormat="1" x14ac:dyDescent="0.25">
      <c r="C34" s="2"/>
      <c r="D34" s="3"/>
      <c r="E34" s="3"/>
      <c r="F34" s="34"/>
      <c r="I34" s="24"/>
      <c r="J34" s="16"/>
      <c r="K34" s="15">
        <v>19</v>
      </c>
      <c r="L34" s="20">
        <f t="shared" si="4"/>
        <v>17615.913637391841</v>
      </c>
      <c r="M34" s="43">
        <f t="shared" si="5"/>
        <v>17616</v>
      </c>
      <c r="N34" s="40">
        <f t="shared" si="6"/>
        <v>17620</v>
      </c>
      <c r="O34" s="42" t="str">
        <f>TEXT(N34/86400,CHOOSE(MATCH(N34,{0,60,3600},1),":ss","m:ss","[h]:mm:ss"))</f>
        <v>4:53:40</v>
      </c>
      <c r="P34" s="21"/>
      <c r="S34" s="21"/>
    </row>
    <row r="35" spans="1:25" s="37" customFormat="1" x14ac:dyDescent="0.25">
      <c r="C35" s="2"/>
      <c r="D35" s="3"/>
      <c r="E35" s="3"/>
      <c r="F35" s="34"/>
      <c r="I35" s="24"/>
      <c r="J35" s="16"/>
      <c r="K35" s="15">
        <v>20</v>
      </c>
      <c r="L35" s="20">
        <f t="shared" si="4"/>
        <v>19709.490470263612</v>
      </c>
      <c r="M35" s="43">
        <f t="shared" si="5"/>
        <v>19709</v>
      </c>
      <c r="N35" s="40">
        <f t="shared" si="6"/>
        <v>19710</v>
      </c>
      <c r="O35" s="42" t="str">
        <f>TEXT(N35/86400,CHOOSE(MATCH(N35,{0,60,3600},1),":ss","m:ss","[h]:mm:ss"))</f>
        <v>5:28:30</v>
      </c>
      <c r="P35" s="21"/>
      <c r="S35" s="21"/>
    </row>
    <row r="37" spans="1:25" x14ac:dyDescent="0.25">
      <c r="A37" t="s">
        <v>208</v>
      </c>
      <c r="B37" t="s">
        <v>128</v>
      </c>
      <c r="C37" t="s">
        <v>129</v>
      </c>
      <c r="D37" t="s">
        <v>130</v>
      </c>
      <c r="E37" t="s">
        <v>131</v>
      </c>
      <c r="F37" s="16" t="s">
        <v>93</v>
      </c>
      <c r="G37" t="s">
        <v>94</v>
      </c>
      <c r="H37" t="s">
        <v>95</v>
      </c>
      <c r="I37" s="24" t="s">
        <v>96</v>
      </c>
      <c r="J37" t="s">
        <v>97</v>
      </c>
      <c r="K37" t="s">
        <v>98</v>
      </c>
      <c r="L37" t="s">
        <v>99</v>
      </c>
      <c r="M37" t="s">
        <v>100</v>
      </c>
      <c r="N37" s="16" t="s">
        <v>132</v>
      </c>
      <c r="O37" t="s">
        <v>133</v>
      </c>
      <c r="P37" t="s">
        <v>134</v>
      </c>
      <c r="Q37" t="s">
        <v>135</v>
      </c>
      <c r="R37" t="s">
        <v>136</v>
      </c>
      <c r="S37" s="21" t="s">
        <v>69</v>
      </c>
      <c r="T37" t="s">
        <v>137</v>
      </c>
      <c r="U37" t="s">
        <v>138</v>
      </c>
      <c r="V37" t="s">
        <v>139</v>
      </c>
      <c r="W37" t="s">
        <v>140</v>
      </c>
      <c r="X37" t="s">
        <v>141</v>
      </c>
      <c r="Y37" t="s">
        <v>142</v>
      </c>
    </row>
    <row r="39" spans="1:25" x14ac:dyDescent="0.25">
      <c r="A39" t="s">
        <v>203</v>
      </c>
      <c r="B39" s="15" t="s">
        <v>201</v>
      </c>
      <c r="C39">
        <v>15</v>
      </c>
      <c r="K39" s="7" t="s">
        <v>1</v>
      </c>
      <c r="L39" s="8" t="s">
        <v>2</v>
      </c>
      <c r="M39" s="8" t="s">
        <v>194</v>
      </c>
      <c r="N39" s="33" t="s">
        <v>204</v>
      </c>
      <c r="O39" s="12" t="s">
        <v>205</v>
      </c>
    </row>
    <row r="40" spans="1:25" x14ac:dyDescent="0.25">
      <c r="A40" t="s">
        <v>203</v>
      </c>
      <c r="B40" t="s">
        <v>202</v>
      </c>
      <c r="C40">
        <v>1</v>
      </c>
      <c r="H40" t="s">
        <v>132</v>
      </c>
      <c r="K40">
        <v>0.4</v>
      </c>
      <c r="L40">
        <v>-5</v>
      </c>
      <c r="M40">
        <v>8000</v>
      </c>
    </row>
    <row r="41" spans="1:25" x14ac:dyDescent="0.25">
      <c r="A41" t="s">
        <v>203</v>
      </c>
      <c r="B41" t="s">
        <v>128</v>
      </c>
      <c r="C41" t="s">
        <v>120</v>
      </c>
      <c r="H41" t="s">
        <v>133</v>
      </c>
      <c r="K41">
        <v>0.35</v>
      </c>
      <c r="L41">
        <v>120</v>
      </c>
      <c r="M41">
        <v>20000</v>
      </c>
    </row>
    <row r="42" spans="1:25" x14ac:dyDescent="0.25">
      <c r="A42" t="s">
        <v>203</v>
      </c>
      <c r="H42" t="s">
        <v>198</v>
      </c>
      <c r="K42">
        <v>0.25</v>
      </c>
      <c r="L42">
        <v>150</v>
      </c>
      <c r="M42">
        <v>11280</v>
      </c>
    </row>
    <row r="43" spans="1:25" x14ac:dyDescent="0.25">
      <c r="A43" t="s">
        <v>203</v>
      </c>
      <c r="H43" t="s">
        <v>135</v>
      </c>
      <c r="K43">
        <v>0.1</v>
      </c>
      <c r="L43">
        <v>-10</v>
      </c>
      <c r="M43">
        <v>2000</v>
      </c>
    </row>
    <row r="44" spans="1:25" x14ac:dyDescent="0.25">
      <c r="A44" t="s">
        <v>203</v>
      </c>
      <c r="H44" t="s">
        <v>136</v>
      </c>
      <c r="K44">
        <v>0</v>
      </c>
      <c r="L44">
        <v>0</v>
      </c>
      <c r="M44">
        <v>0</v>
      </c>
    </row>
    <row r="45" spans="1:25" x14ac:dyDescent="0.25">
      <c r="A45" t="s">
        <v>203</v>
      </c>
      <c r="H45" t="s">
        <v>69</v>
      </c>
      <c r="K45">
        <v>0.1</v>
      </c>
      <c r="L45" s="3">
        <v>900</v>
      </c>
      <c r="M45" s="3">
        <f>3600*33</f>
        <v>118800</v>
      </c>
      <c r="N45" s="34" t="str">
        <f>TEXT(L45/86400,CHOOSE(MATCH(L45,{0,60,3600},1),":ss","m:ss","[h]:mm:ss"))</f>
        <v>15:00</v>
      </c>
      <c r="O45" s="11" t="str">
        <f>TEXT(M45/86400,CHOOSE(MATCH(M45,{0,60,3600},1),":ss","m:ss","[h]:mm:ss"))</f>
        <v>33:00:00</v>
      </c>
    </row>
    <row r="46" spans="1:25" x14ac:dyDescent="0.25">
      <c r="L46" s="3"/>
      <c r="M46" s="3"/>
    </row>
    <row r="47" spans="1:25" x14ac:dyDescent="0.25">
      <c r="A47" t="s">
        <v>143</v>
      </c>
      <c r="B47">
        <v>2000</v>
      </c>
      <c r="C47">
        <v>0</v>
      </c>
      <c r="D47" t="s">
        <v>144</v>
      </c>
      <c r="E47" t="s">
        <v>145</v>
      </c>
      <c r="F47" s="16">
        <v>500</v>
      </c>
      <c r="G47" s="15">
        <v>0</v>
      </c>
      <c r="H47" s="15">
        <v>0</v>
      </c>
      <c r="I47" s="24">
        <v>0</v>
      </c>
      <c r="J47">
        <v>0</v>
      </c>
      <c r="K47">
        <v>0</v>
      </c>
      <c r="L47">
        <v>0</v>
      </c>
      <c r="M47">
        <v>0</v>
      </c>
      <c r="N47" s="16">
        <v>0</v>
      </c>
      <c r="O47">
        <v>0</v>
      </c>
      <c r="P47">
        <v>0</v>
      </c>
      <c r="Q47">
        <v>0</v>
      </c>
      <c r="R47">
        <v>0</v>
      </c>
      <c r="S47" s="21">
        <v>0</v>
      </c>
      <c r="T47">
        <v>0</v>
      </c>
      <c r="U47" t="s">
        <v>146</v>
      </c>
      <c r="V47" t="s">
        <v>147</v>
      </c>
      <c r="W47" s="37" t="s">
        <v>257</v>
      </c>
      <c r="X47" t="s">
        <v>149</v>
      </c>
      <c r="Y47">
        <v>0</v>
      </c>
    </row>
    <row r="48" spans="1:25" x14ac:dyDescent="0.25">
      <c r="A48" t="s">
        <v>143</v>
      </c>
      <c r="B48">
        <v>2000</v>
      </c>
      <c r="C48">
        <v>1</v>
      </c>
      <c r="D48" t="s">
        <v>144</v>
      </c>
      <c r="E48" t="s">
        <v>150</v>
      </c>
      <c r="F48" s="16">
        <f t="shared" ref="F48:F62" si="7">VLOOKUP($C$41,$C$4:$M$9,4,FALSE)*(LOOKUP($C$40,$B$13:$B$28,$C$13:$C$28)+LOOKUP($C48,$B$13:$B$28,$D$13:$D$28))</f>
        <v>1600</v>
      </c>
      <c r="G48" s="17">
        <f t="shared" ref="G48:G62" si="8">VLOOKUP($C$41,$C$4:$M$9,5,FALSE)*(LOOKUP($C$40,$B$13:$B$28,$C$13:$C$28)+LOOKUP($C48,$B$13:$B$28,$D$13:$D$28))</f>
        <v>12</v>
      </c>
      <c r="H48" s="15">
        <f>VLOOKUP($C$41,$C$4:$M$9,6,FALSE)</f>
        <v>1</v>
      </c>
      <c r="I48" s="24">
        <f t="shared" ref="I48:I62" si="9">VLOOKUP($C$41,$C$4:$M$9,7,FALSE)*(LOOKUP($C$40,$B$13:$B$28,$C$13:$C$28)+LOOKUP($C48,$B$13:$B$28,$D$13:$D$28))</f>
        <v>8</v>
      </c>
      <c r="J48">
        <v>0</v>
      </c>
      <c r="K48">
        <f t="shared" ref="K48:K62" si="10">VLOOKUP($C$41,$C$4:$M$9,9,FALSE)</f>
        <v>4</v>
      </c>
      <c r="L48">
        <f t="shared" ref="L48:L62" si="11">VLOOKUP($C$41,$C$4:$M$9,10,FALSE)</f>
        <v>1</v>
      </c>
      <c r="M48">
        <v>0</v>
      </c>
      <c r="N48" s="35">
        <v>0</v>
      </c>
      <c r="O48" s="10">
        <v>0</v>
      </c>
      <c r="P48" s="10">
        <v>0</v>
      </c>
      <c r="Q48" s="10">
        <v>0</v>
      </c>
      <c r="R48" s="10">
        <v>0</v>
      </c>
      <c r="S48" s="36">
        <v>43200</v>
      </c>
      <c r="T48" s="37">
        <v>0</v>
      </c>
      <c r="U48" t="s">
        <v>146</v>
      </c>
      <c r="V48" t="s">
        <v>147</v>
      </c>
      <c r="W48" s="37" t="s">
        <v>257</v>
      </c>
      <c r="X48" t="s">
        <v>149</v>
      </c>
      <c r="Y48">
        <v>0</v>
      </c>
    </row>
    <row r="49" spans="1:25" x14ac:dyDescent="0.25">
      <c r="A49" t="s">
        <v>143</v>
      </c>
      <c r="B49">
        <v>2000</v>
      </c>
      <c r="C49">
        <v>2</v>
      </c>
      <c r="D49" t="s">
        <v>144</v>
      </c>
      <c r="E49" t="s">
        <v>150</v>
      </c>
      <c r="F49" s="16">
        <f t="shared" si="7"/>
        <v>1840</v>
      </c>
      <c r="G49" s="17">
        <f t="shared" si="8"/>
        <v>13.799999999999999</v>
      </c>
      <c r="H49" s="15">
        <f>H48</f>
        <v>1</v>
      </c>
      <c r="I49" s="24">
        <f t="shared" si="9"/>
        <v>9.2000000000000011</v>
      </c>
      <c r="J49">
        <v>0</v>
      </c>
      <c r="K49" s="37">
        <f t="shared" si="10"/>
        <v>4</v>
      </c>
      <c r="L49" s="37">
        <f t="shared" si="11"/>
        <v>1</v>
      </c>
      <c r="M49">
        <v>0</v>
      </c>
      <c r="N49" s="35">
        <f t="shared" ref="N49:N62" si="12">ROUND(GetValue($C49,$C$39,$K$40,$L$40,$M$40),-1)</f>
        <v>0</v>
      </c>
      <c r="O49" s="10">
        <f t="shared" ref="O49:O62" si="13">ROUND(GetValue($C49,$C$39,$K$41,$L$41,$M$41),-1)</f>
        <v>180</v>
      </c>
      <c r="P49" s="10">
        <f t="shared" ref="P49:P62" si="14">ROUND(GetValue($C49,$C$39,$K$42,$L$42,$M$42),-1)</f>
        <v>250</v>
      </c>
      <c r="Q49" s="10">
        <f t="shared" ref="Q49:Q62" si="15">ROUND(GetValue($C49,$C$39,$K$43,$L$43,$M$43),-1)</f>
        <v>0</v>
      </c>
      <c r="R49" s="10">
        <f t="shared" ref="R49:R62" si="16">GetValue($C49,$C$39,$K$44,$L$44,$M$44)</f>
        <v>0</v>
      </c>
      <c r="S49" s="36">
        <v>65</v>
      </c>
      <c r="T49" s="37">
        <v>0</v>
      </c>
      <c r="U49" t="s">
        <v>146</v>
      </c>
      <c r="V49" t="s">
        <v>147</v>
      </c>
      <c r="W49" s="37" t="s">
        <v>257</v>
      </c>
      <c r="X49" t="s">
        <v>149</v>
      </c>
      <c r="Y49">
        <v>0</v>
      </c>
    </row>
    <row r="50" spans="1:25" x14ac:dyDescent="0.25">
      <c r="A50" t="s">
        <v>143</v>
      </c>
      <c r="B50">
        <v>2000</v>
      </c>
      <c r="C50">
        <v>3</v>
      </c>
      <c r="D50" t="s">
        <v>144</v>
      </c>
      <c r="E50" t="s">
        <v>150</v>
      </c>
      <c r="F50" s="16">
        <f t="shared" si="7"/>
        <v>2240</v>
      </c>
      <c r="G50" s="17">
        <f t="shared" si="8"/>
        <v>16.8</v>
      </c>
      <c r="H50" s="15">
        <f t="shared" ref="H50:H62" si="17">H49</f>
        <v>1</v>
      </c>
      <c r="I50" s="24">
        <f t="shared" si="9"/>
        <v>11.200000000000001</v>
      </c>
      <c r="J50">
        <v>0</v>
      </c>
      <c r="K50" s="37">
        <f t="shared" si="10"/>
        <v>4</v>
      </c>
      <c r="L50" s="37">
        <f t="shared" si="11"/>
        <v>1</v>
      </c>
      <c r="M50">
        <v>0</v>
      </c>
      <c r="N50" s="35">
        <f t="shared" si="12"/>
        <v>0</v>
      </c>
      <c r="O50" s="10">
        <f t="shared" si="13"/>
        <v>270</v>
      </c>
      <c r="P50" s="10">
        <f t="shared" si="14"/>
        <v>370</v>
      </c>
      <c r="Q50" s="10">
        <f t="shared" si="15"/>
        <v>0</v>
      </c>
      <c r="R50" s="10">
        <f t="shared" si="16"/>
        <v>0</v>
      </c>
      <c r="S50" s="36">
        <v>1800</v>
      </c>
      <c r="T50" s="37">
        <v>0</v>
      </c>
      <c r="U50" t="s">
        <v>146</v>
      </c>
      <c r="V50" t="s">
        <v>147</v>
      </c>
      <c r="W50" s="37" t="s">
        <v>257</v>
      </c>
      <c r="X50" t="s">
        <v>149</v>
      </c>
      <c r="Y50">
        <v>0</v>
      </c>
    </row>
    <row r="51" spans="1:25" x14ac:dyDescent="0.25">
      <c r="A51" t="s">
        <v>143</v>
      </c>
      <c r="B51">
        <v>2000</v>
      </c>
      <c r="C51">
        <v>4</v>
      </c>
      <c r="D51" t="s">
        <v>144</v>
      </c>
      <c r="E51" t="s">
        <v>150</v>
      </c>
      <c r="F51" s="16">
        <f t="shared" si="7"/>
        <v>2720</v>
      </c>
      <c r="G51" s="17">
        <f t="shared" si="8"/>
        <v>20.399999999999999</v>
      </c>
      <c r="H51" s="15">
        <f t="shared" si="17"/>
        <v>1</v>
      </c>
      <c r="I51" s="24">
        <f t="shared" si="9"/>
        <v>13.600000000000001</v>
      </c>
      <c r="J51">
        <v>0</v>
      </c>
      <c r="K51" s="37">
        <f t="shared" si="10"/>
        <v>4</v>
      </c>
      <c r="L51" s="37">
        <f t="shared" si="11"/>
        <v>1</v>
      </c>
      <c r="M51">
        <v>0</v>
      </c>
      <c r="N51" s="35">
        <f t="shared" si="12"/>
        <v>0</v>
      </c>
      <c r="O51" s="10">
        <f t="shared" si="13"/>
        <v>400</v>
      </c>
      <c r="P51" s="10">
        <f t="shared" si="14"/>
        <v>540</v>
      </c>
      <c r="Q51" s="10">
        <f t="shared" si="15"/>
        <v>0</v>
      </c>
      <c r="R51" s="10">
        <f t="shared" si="16"/>
        <v>0</v>
      </c>
      <c r="S51" s="36">
        <f t="shared" ref="S51:S62" si="18">ROUND(GetValue($C51,$C$39,$K$45,$L$45,$M$45),-2)</f>
        <v>11200</v>
      </c>
      <c r="T51" s="37">
        <v>0</v>
      </c>
      <c r="U51" t="s">
        <v>146</v>
      </c>
      <c r="V51" t="s">
        <v>147</v>
      </c>
      <c r="W51" s="37" t="s">
        <v>257</v>
      </c>
      <c r="X51" t="s">
        <v>149</v>
      </c>
      <c r="Y51">
        <v>0</v>
      </c>
    </row>
    <row r="52" spans="1:25" x14ac:dyDescent="0.25">
      <c r="A52" t="s">
        <v>143</v>
      </c>
      <c r="B52">
        <v>2000</v>
      </c>
      <c r="C52">
        <v>5</v>
      </c>
      <c r="D52" t="s">
        <v>144</v>
      </c>
      <c r="E52" t="s">
        <v>150</v>
      </c>
      <c r="F52" s="16">
        <f t="shared" si="7"/>
        <v>3120</v>
      </c>
      <c r="G52" s="17">
        <f t="shared" si="8"/>
        <v>23.4</v>
      </c>
      <c r="H52" s="15">
        <f t="shared" si="17"/>
        <v>1</v>
      </c>
      <c r="I52" s="24">
        <f t="shared" si="9"/>
        <v>15.600000000000001</v>
      </c>
      <c r="J52">
        <v>0</v>
      </c>
      <c r="K52" s="37">
        <f t="shared" si="10"/>
        <v>4</v>
      </c>
      <c r="L52" s="37">
        <f t="shared" si="11"/>
        <v>1</v>
      </c>
      <c r="M52">
        <v>0</v>
      </c>
      <c r="N52" s="35">
        <f t="shared" si="12"/>
        <v>0</v>
      </c>
      <c r="O52" s="10">
        <f t="shared" si="13"/>
        <v>580</v>
      </c>
      <c r="P52" s="10">
        <f t="shared" si="14"/>
        <v>740</v>
      </c>
      <c r="Q52" s="10">
        <f t="shared" si="15"/>
        <v>0</v>
      </c>
      <c r="R52" s="10">
        <f t="shared" si="16"/>
        <v>0</v>
      </c>
      <c r="S52" s="36">
        <f t="shared" si="18"/>
        <v>15400</v>
      </c>
      <c r="T52" s="37">
        <v>0</v>
      </c>
      <c r="U52" t="s">
        <v>146</v>
      </c>
      <c r="V52" t="s">
        <v>147</v>
      </c>
      <c r="W52" s="37" t="s">
        <v>257</v>
      </c>
      <c r="X52" t="s">
        <v>149</v>
      </c>
      <c r="Y52">
        <v>0</v>
      </c>
    </row>
    <row r="53" spans="1:25" x14ac:dyDescent="0.25">
      <c r="A53" t="s">
        <v>143</v>
      </c>
      <c r="B53">
        <v>2000</v>
      </c>
      <c r="C53">
        <v>6</v>
      </c>
      <c r="D53" t="s">
        <v>144</v>
      </c>
      <c r="E53" t="s">
        <v>150</v>
      </c>
      <c r="F53" s="16">
        <f t="shared" si="7"/>
        <v>3600</v>
      </c>
      <c r="G53" s="17">
        <f t="shared" si="8"/>
        <v>27</v>
      </c>
      <c r="H53" s="15">
        <f t="shared" si="17"/>
        <v>1</v>
      </c>
      <c r="I53" s="24">
        <f t="shared" si="9"/>
        <v>18</v>
      </c>
      <c r="J53">
        <v>0</v>
      </c>
      <c r="K53" s="37">
        <f t="shared" si="10"/>
        <v>4</v>
      </c>
      <c r="L53" s="37">
        <f t="shared" si="11"/>
        <v>1</v>
      </c>
      <c r="M53">
        <v>0</v>
      </c>
      <c r="N53" s="35">
        <f t="shared" si="12"/>
        <v>70</v>
      </c>
      <c r="O53" s="10">
        <f t="shared" si="13"/>
        <v>830</v>
      </c>
      <c r="P53" s="10">
        <f t="shared" si="14"/>
        <v>1010</v>
      </c>
      <c r="Q53" s="10">
        <f t="shared" si="15"/>
        <v>0</v>
      </c>
      <c r="R53" s="10">
        <f t="shared" si="16"/>
        <v>0</v>
      </c>
      <c r="S53" s="36">
        <f t="shared" si="18"/>
        <v>20000</v>
      </c>
      <c r="T53" s="37">
        <v>0</v>
      </c>
      <c r="U53" t="s">
        <v>146</v>
      </c>
      <c r="V53" t="s">
        <v>147</v>
      </c>
      <c r="W53" s="37" t="s">
        <v>257</v>
      </c>
      <c r="X53" t="s">
        <v>149</v>
      </c>
      <c r="Y53">
        <v>0</v>
      </c>
    </row>
    <row r="54" spans="1:25" x14ac:dyDescent="0.25">
      <c r="A54" t="s">
        <v>143</v>
      </c>
      <c r="B54">
        <v>2000</v>
      </c>
      <c r="C54">
        <v>7</v>
      </c>
      <c r="D54" t="s">
        <v>144</v>
      </c>
      <c r="E54" t="s">
        <v>150</v>
      </c>
      <c r="F54" s="16">
        <f t="shared" si="7"/>
        <v>4160</v>
      </c>
      <c r="G54" s="17">
        <f t="shared" si="8"/>
        <v>31.2</v>
      </c>
      <c r="H54" s="15">
        <f t="shared" si="17"/>
        <v>1</v>
      </c>
      <c r="I54" s="24">
        <f t="shared" si="9"/>
        <v>20.8</v>
      </c>
      <c r="J54">
        <v>0</v>
      </c>
      <c r="K54" s="37">
        <f t="shared" si="10"/>
        <v>4</v>
      </c>
      <c r="L54" s="37">
        <f t="shared" si="11"/>
        <v>1</v>
      </c>
      <c r="M54">
        <v>0</v>
      </c>
      <c r="N54" s="35">
        <f t="shared" si="12"/>
        <v>180</v>
      </c>
      <c r="O54" s="10">
        <f t="shared" si="13"/>
        <v>1190</v>
      </c>
      <c r="P54" s="10">
        <f t="shared" si="14"/>
        <v>1350</v>
      </c>
      <c r="Q54" s="10">
        <f t="shared" si="15"/>
        <v>0</v>
      </c>
      <c r="R54" s="10">
        <f t="shared" si="16"/>
        <v>0</v>
      </c>
      <c r="S54" s="36">
        <f t="shared" si="18"/>
        <v>25200</v>
      </c>
      <c r="T54" s="37">
        <v>0</v>
      </c>
      <c r="U54" t="s">
        <v>146</v>
      </c>
      <c r="V54" t="s">
        <v>147</v>
      </c>
      <c r="W54" s="37" t="s">
        <v>257</v>
      </c>
      <c r="X54" t="s">
        <v>149</v>
      </c>
      <c r="Y54">
        <v>0</v>
      </c>
    </row>
    <row r="55" spans="1:25" x14ac:dyDescent="0.25">
      <c r="A55" t="s">
        <v>143</v>
      </c>
      <c r="B55">
        <v>2000</v>
      </c>
      <c r="C55">
        <v>8</v>
      </c>
      <c r="D55" t="s">
        <v>144</v>
      </c>
      <c r="E55" t="s">
        <v>150</v>
      </c>
      <c r="F55" s="16">
        <f t="shared" si="7"/>
        <v>4720</v>
      </c>
      <c r="G55" s="17">
        <f t="shared" si="8"/>
        <v>35.4</v>
      </c>
      <c r="H55" s="15">
        <f t="shared" si="17"/>
        <v>1</v>
      </c>
      <c r="I55" s="24">
        <f t="shared" si="9"/>
        <v>23.6</v>
      </c>
      <c r="J55">
        <v>0</v>
      </c>
      <c r="K55" s="37">
        <f t="shared" si="10"/>
        <v>4</v>
      </c>
      <c r="L55" s="37">
        <f t="shared" si="11"/>
        <v>1</v>
      </c>
      <c r="M55">
        <v>0</v>
      </c>
      <c r="N55" s="35">
        <f t="shared" si="12"/>
        <v>340</v>
      </c>
      <c r="O55" s="10">
        <f t="shared" si="13"/>
        <v>1710</v>
      </c>
      <c r="P55" s="10">
        <f t="shared" si="14"/>
        <v>1790</v>
      </c>
      <c r="Q55" s="10">
        <f t="shared" si="15"/>
        <v>0</v>
      </c>
      <c r="R55" s="10">
        <f t="shared" si="16"/>
        <v>0</v>
      </c>
      <c r="S55" s="36">
        <f t="shared" si="18"/>
        <v>30800</v>
      </c>
      <c r="T55" s="37">
        <v>0</v>
      </c>
      <c r="U55" t="s">
        <v>146</v>
      </c>
      <c r="V55" t="s">
        <v>147</v>
      </c>
      <c r="W55" s="37" t="s">
        <v>257</v>
      </c>
      <c r="X55" t="s">
        <v>149</v>
      </c>
      <c r="Y55">
        <v>0</v>
      </c>
    </row>
    <row r="56" spans="1:25" x14ac:dyDescent="0.25">
      <c r="A56" t="s">
        <v>143</v>
      </c>
      <c r="B56">
        <v>2000</v>
      </c>
      <c r="C56">
        <v>9</v>
      </c>
      <c r="D56" t="s">
        <v>144</v>
      </c>
      <c r="E56" t="s">
        <v>150</v>
      </c>
      <c r="F56" s="16">
        <f t="shared" si="7"/>
        <v>5360</v>
      </c>
      <c r="G56" s="17">
        <f t="shared" si="8"/>
        <v>40.199999999999996</v>
      </c>
      <c r="H56" s="15">
        <f t="shared" si="17"/>
        <v>1</v>
      </c>
      <c r="I56" s="24">
        <f t="shared" si="9"/>
        <v>26.8</v>
      </c>
      <c r="J56">
        <v>0</v>
      </c>
      <c r="K56" s="37">
        <f t="shared" si="10"/>
        <v>4</v>
      </c>
      <c r="L56" s="37">
        <f t="shared" si="11"/>
        <v>1</v>
      </c>
      <c r="M56">
        <v>0</v>
      </c>
      <c r="N56" s="35">
        <f t="shared" si="12"/>
        <v>580</v>
      </c>
      <c r="O56" s="10">
        <f t="shared" si="13"/>
        <v>2430</v>
      </c>
      <c r="P56" s="10">
        <f t="shared" si="14"/>
        <v>2360</v>
      </c>
      <c r="Q56" s="10">
        <f t="shared" si="15"/>
        <v>0</v>
      </c>
      <c r="R56" s="10">
        <f t="shared" si="16"/>
        <v>0</v>
      </c>
      <c r="S56" s="36">
        <f t="shared" si="18"/>
        <v>37100</v>
      </c>
      <c r="T56" s="37">
        <v>0</v>
      </c>
      <c r="U56" t="s">
        <v>146</v>
      </c>
      <c r="V56" t="s">
        <v>147</v>
      </c>
      <c r="W56" s="37" t="s">
        <v>257</v>
      </c>
      <c r="X56" t="s">
        <v>149</v>
      </c>
      <c r="Y56">
        <v>0</v>
      </c>
    </row>
    <row r="57" spans="1:25" x14ac:dyDescent="0.25">
      <c r="A57" t="s">
        <v>143</v>
      </c>
      <c r="B57">
        <v>2000</v>
      </c>
      <c r="C57">
        <v>10</v>
      </c>
      <c r="D57" t="s">
        <v>144</v>
      </c>
      <c r="E57" t="s">
        <v>150</v>
      </c>
      <c r="F57" s="16">
        <f t="shared" si="7"/>
        <v>6080</v>
      </c>
      <c r="G57" s="17">
        <f t="shared" si="8"/>
        <v>45.6</v>
      </c>
      <c r="H57" s="15">
        <f t="shared" si="17"/>
        <v>1</v>
      </c>
      <c r="I57" s="24">
        <f t="shared" si="9"/>
        <v>30.400000000000002</v>
      </c>
      <c r="J57">
        <v>0</v>
      </c>
      <c r="K57" s="37">
        <f t="shared" si="10"/>
        <v>4</v>
      </c>
      <c r="L57" s="37">
        <f t="shared" si="11"/>
        <v>1</v>
      </c>
      <c r="M57">
        <v>0</v>
      </c>
      <c r="N57" s="35">
        <f t="shared" si="12"/>
        <v>940</v>
      </c>
      <c r="O57" s="10">
        <f t="shared" si="13"/>
        <v>3470</v>
      </c>
      <c r="P57" s="10">
        <f t="shared" si="14"/>
        <v>3080</v>
      </c>
      <c r="Q57" s="10">
        <f t="shared" si="15"/>
        <v>0</v>
      </c>
      <c r="R57" s="10">
        <f t="shared" si="16"/>
        <v>0</v>
      </c>
      <c r="S57" s="36">
        <f t="shared" si="18"/>
        <v>44000</v>
      </c>
      <c r="T57" s="37">
        <v>0</v>
      </c>
      <c r="U57" t="s">
        <v>146</v>
      </c>
      <c r="V57" t="s">
        <v>147</v>
      </c>
      <c r="W57" s="37" t="s">
        <v>257</v>
      </c>
      <c r="X57" t="s">
        <v>149</v>
      </c>
      <c r="Y57">
        <v>0</v>
      </c>
    </row>
    <row r="58" spans="1:25" x14ac:dyDescent="0.25">
      <c r="A58" t="s">
        <v>143</v>
      </c>
      <c r="B58">
        <v>2000</v>
      </c>
      <c r="C58">
        <v>11</v>
      </c>
      <c r="D58" t="s">
        <v>144</v>
      </c>
      <c r="E58" t="s">
        <v>150</v>
      </c>
      <c r="F58" s="16">
        <f t="shared" si="7"/>
        <v>6800</v>
      </c>
      <c r="G58" s="17">
        <f t="shared" si="8"/>
        <v>51</v>
      </c>
      <c r="H58" s="15">
        <f t="shared" si="17"/>
        <v>1</v>
      </c>
      <c r="I58" s="24">
        <f t="shared" si="9"/>
        <v>34</v>
      </c>
      <c r="J58">
        <v>0</v>
      </c>
      <c r="K58" s="37">
        <f t="shared" si="10"/>
        <v>4</v>
      </c>
      <c r="L58" s="37">
        <f t="shared" si="11"/>
        <v>1</v>
      </c>
      <c r="M58">
        <v>0</v>
      </c>
      <c r="N58" s="35">
        <f t="shared" si="12"/>
        <v>1470</v>
      </c>
      <c r="O58" s="10">
        <f t="shared" si="13"/>
        <v>4930</v>
      </c>
      <c r="P58" s="10">
        <f t="shared" si="14"/>
        <v>4010</v>
      </c>
      <c r="Q58" s="10">
        <f t="shared" si="15"/>
        <v>130</v>
      </c>
      <c r="R58" s="10">
        <f t="shared" si="16"/>
        <v>0</v>
      </c>
      <c r="S58" s="36">
        <f t="shared" si="18"/>
        <v>51600</v>
      </c>
      <c r="T58" s="37">
        <v>0</v>
      </c>
      <c r="U58" t="s">
        <v>146</v>
      </c>
      <c r="V58" t="s">
        <v>147</v>
      </c>
      <c r="W58" s="37" t="s">
        <v>257</v>
      </c>
      <c r="X58" t="s">
        <v>149</v>
      </c>
      <c r="Y58">
        <v>0</v>
      </c>
    </row>
    <row r="59" spans="1:25" x14ac:dyDescent="0.25">
      <c r="A59" t="s">
        <v>143</v>
      </c>
      <c r="B59">
        <v>2000</v>
      </c>
      <c r="C59">
        <v>12</v>
      </c>
      <c r="D59" t="s">
        <v>144</v>
      </c>
      <c r="E59" t="s">
        <v>150</v>
      </c>
      <c r="F59" s="16">
        <f t="shared" si="7"/>
        <v>7600</v>
      </c>
      <c r="G59" s="17">
        <f t="shared" si="8"/>
        <v>57</v>
      </c>
      <c r="H59" s="15">
        <f t="shared" si="17"/>
        <v>1</v>
      </c>
      <c r="I59" s="24">
        <f t="shared" si="9"/>
        <v>38</v>
      </c>
      <c r="J59">
        <v>0</v>
      </c>
      <c r="K59" s="37">
        <f t="shared" si="10"/>
        <v>4</v>
      </c>
      <c r="L59" s="37">
        <f t="shared" si="11"/>
        <v>1</v>
      </c>
      <c r="M59">
        <v>0</v>
      </c>
      <c r="N59" s="35">
        <f t="shared" si="12"/>
        <v>2260</v>
      </c>
      <c r="O59" s="10">
        <f t="shared" si="13"/>
        <v>7010</v>
      </c>
      <c r="P59" s="10">
        <f t="shared" si="14"/>
        <v>5200</v>
      </c>
      <c r="Q59" s="10">
        <f t="shared" si="15"/>
        <v>270</v>
      </c>
      <c r="R59" s="10">
        <f t="shared" si="16"/>
        <v>0</v>
      </c>
      <c r="S59" s="36">
        <f t="shared" si="18"/>
        <v>60100</v>
      </c>
      <c r="T59" s="37">
        <v>0</v>
      </c>
      <c r="U59" t="s">
        <v>146</v>
      </c>
      <c r="V59" t="s">
        <v>147</v>
      </c>
      <c r="W59" s="37" t="s">
        <v>257</v>
      </c>
      <c r="X59" t="s">
        <v>149</v>
      </c>
      <c r="Y59">
        <v>0</v>
      </c>
    </row>
    <row r="60" spans="1:25" x14ac:dyDescent="0.25">
      <c r="A60" t="s">
        <v>143</v>
      </c>
      <c r="B60">
        <v>2000</v>
      </c>
      <c r="C60">
        <v>13</v>
      </c>
      <c r="D60" t="s">
        <v>144</v>
      </c>
      <c r="E60" t="s">
        <v>150</v>
      </c>
      <c r="F60" s="16">
        <f t="shared" si="7"/>
        <v>8480</v>
      </c>
      <c r="G60" s="17">
        <f t="shared" si="8"/>
        <v>63.599999999999994</v>
      </c>
      <c r="H60" s="15">
        <f t="shared" si="17"/>
        <v>1</v>
      </c>
      <c r="I60" s="24">
        <f t="shared" si="9"/>
        <v>42.400000000000006</v>
      </c>
      <c r="J60">
        <v>0</v>
      </c>
      <c r="K60" s="37">
        <f t="shared" si="10"/>
        <v>4</v>
      </c>
      <c r="L60" s="37">
        <f t="shared" si="11"/>
        <v>1</v>
      </c>
      <c r="M60">
        <v>0</v>
      </c>
      <c r="N60" s="35">
        <f t="shared" si="12"/>
        <v>3450</v>
      </c>
      <c r="O60" s="10">
        <f t="shared" si="13"/>
        <v>9960</v>
      </c>
      <c r="P60" s="10">
        <f t="shared" si="14"/>
        <v>6740</v>
      </c>
      <c r="Q60" s="10">
        <f t="shared" si="15"/>
        <v>420</v>
      </c>
      <c r="R60" s="10">
        <f t="shared" si="16"/>
        <v>0</v>
      </c>
      <c r="S60" s="36">
        <f t="shared" si="18"/>
        <v>69400</v>
      </c>
      <c r="T60" s="37">
        <v>0</v>
      </c>
      <c r="U60" t="s">
        <v>146</v>
      </c>
      <c r="V60" t="s">
        <v>147</v>
      </c>
      <c r="W60" s="37" t="s">
        <v>257</v>
      </c>
      <c r="X60" t="s">
        <v>149</v>
      </c>
      <c r="Y60">
        <v>0</v>
      </c>
    </row>
    <row r="61" spans="1:25" x14ac:dyDescent="0.25">
      <c r="A61" t="s">
        <v>143</v>
      </c>
      <c r="B61">
        <v>2000</v>
      </c>
      <c r="C61">
        <v>14</v>
      </c>
      <c r="D61" t="s">
        <v>144</v>
      </c>
      <c r="E61" t="s">
        <v>150</v>
      </c>
      <c r="F61" s="16">
        <f t="shared" si="7"/>
        <v>9360</v>
      </c>
      <c r="G61" s="17">
        <f t="shared" si="8"/>
        <v>70.2</v>
      </c>
      <c r="H61" s="15">
        <f t="shared" si="17"/>
        <v>1</v>
      </c>
      <c r="I61" s="24">
        <f t="shared" si="9"/>
        <v>46.800000000000004</v>
      </c>
      <c r="J61">
        <v>0</v>
      </c>
      <c r="K61" s="37">
        <f t="shared" si="10"/>
        <v>4</v>
      </c>
      <c r="L61" s="37">
        <f t="shared" si="11"/>
        <v>1</v>
      </c>
      <c r="M61">
        <v>0</v>
      </c>
      <c r="N61" s="35">
        <f t="shared" si="12"/>
        <v>5220</v>
      </c>
      <c r="O61" s="10">
        <f t="shared" si="13"/>
        <v>14150</v>
      </c>
      <c r="P61" s="10">
        <f t="shared" si="14"/>
        <v>8710</v>
      </c>
      <c r="Q61" s="10">
        <f t="shared" si="15"/>
        <v>600</v>
      </c>
      <c r="R61" s="10">
        <f t="shared" si="16"/>
        <v>0</v>
      </c>
      <c r="S61" s="36">
        <f t="shared" si="18"/>
        <v>79700</v>
      </c>
      <c r="T61" s="37">
        <v>0</v>
      </c>
      <c r="U61" t="s">
        <v>146</v>
      </c>
      <c r="V61" t="s">
        <v>147</v>
      </c>
      <c r="W61" s="37" t="s">
        <v>257</v>
      </c>
      <c r="X61" t="s">
        <v>149</v>
      </c>
      <c r="Y61">
        <v>0</v>
      </c>
    </row>
    <row r="62" spans="1:25" x14ac:dyDescent="0.25">
      <c r="A62" t="s">
        <v>143</v>
      </c>
      <c r="B62">
        <v>2000</v>
      </c>
      <c r="C62">
        <v>15</v>
      </c>
      <c r="D62" t="s">
        <v>144</v>
      </c>
      <c r="E62" t="s">
        <v>150</v>
      </c>
      <c r="F62" s="16">
        <f t="shared" si="7"/>
        <v>10400</v>
      </c>
      <c r="G62" s="17">
        <f t="shared" si="8"/>
        <v>78</v>
      </c>
      <c r="H62" s="15">
        <f t="shared" si="17"/>
        <v>1</v>
      </c>
      <c r="I62" s="24">
        <f t="shared" si="9"/>
        <v>52</v>
      </c>
      <c r="J62">
        <v>0</v>
      </c>
      <c r="K62" s="37">
        <f t="shared" si="10"/>
        <v>4</v>
      </c>
      <c r="L62" s="37">
        <f t="shared" si="11"/>
        <v>1</v>
      </c>
      <c r="M62">
        <v>0</v>
      </c>
      <c r="N62" s="35">
        <f t="shared" si="12"/>
        <v>7850</v>
      </c>
      <c r="O62" s="10">
        <f t="shared" si="13"/>
        <v>20090</v>
      </c>
      <c r="P62" s="10">
        <f t="shared" si="14"/>
        <v>11230</v>
      </c>
      <c r="Q62" s="10">
        <f t="shared" si="15"/>
        <v>790</v>
      </c>
      <c r="R62" s="10">
        <f t="shared" si="16"/>
        <v>0</v>
      </c>
      <c r="S62" s="36">
        <f t="shared" si="18"/>
        <v>91100</v>
      </c>
      <c r="T62" s="37">
        <v>0</v>
      </c>
      <c r="U62" t="s">
        <v>146</v>
      </c>
      <c r="V62" t="s">
        <v>147</v>
      </c>
      <c r="W62" s="37" t="s">
        <v>257</v>
      </c>
      <c r="X62" t="s">
        <v>149</v>
      </c>
      <c r="Y62">
        <v>0</v>
      </c>
    </row>
    <row r="63" spans="1:25" x14ac:dyDescent="0.25">
      <c r="G63" s="15"/>
      <c r="H63" s="15"/>
    </row>
    <row r="64" spans="1:25" x14ac:dyDescent="0.25">
      <c r="A64" t="s">
        <v>203</v>
      </c>
      <c r="B64" s="15" t="s">
        <v>201</v>
      </c>
      <c r="C64">
        <v>15</v>
      </c>
      <c r="G64" s="15"/>
      <c r="H64" s="15"/>
      <c r="K64" s="7" t="s">
        <v>1</v>
      </c>
      <c r="L64" s="8" t="s">
        <v>2</v>
      </c>
      <c r="M64" s="8" t="s">
        <v>194</v>
      </c>
      <c r="N64" s="33" t="s">
        <v>204</v>
      </c>
      <c r="O64" s="12" t="s">
        <v>205</v>
      </c>
    </row>
    <row r="65" spans="1:25" x14ac:dyDescent="0.25">
      <c r="A65" t="s">
        <v>203</v>
      </c>
      <c r="B65" t="s">
        <v>202</v>
      </c>
      <c r="C65">
        <v>1</v>
      </c>
      <c r="G65" s="15"/>
      <c r="H65" s="15" t="s">
        <v>132</v>
      </c>
      <c r="K65">
        <v>0.4</v>
      </c>
      <c r="L65">
        <v>-7</v>
      </c>
      <c r="M65">
        <v>5000</v>
      </c>
    </row>
    <row r="66" spans="1:25" x14ac:dyDescent="0.25">
      <c r="A66" t="s">
        <v>203</v>
      </c>
      <c r="B66" t="s">
        <v>128</v>
      </c>
      <c r="C66" t="s">
        <v>116</v>
      </c>
      <c r="G66" s="15"/>
      <c r="H66" s="15" t="s">
        <v>133</v>
      </c>
      <c r="K66">
        <v>0.25</v>
      </c>
      <c r="L66">
        <v>70</v>
      </c>
      <c r="M66">
        <v>8000</v>
      </c>
    </row>
    <row r="67" spans="1:25" x14ac:dyDescent="0.25">
      <c r="A67" t="s">
        <v>203</v>
      </c>
      <c r="G67" s="15"/>
      <c r="H67" s="15" t="s">
        <v>198</v>
      </c>
      <c r="K67">
        <v>0.23</v>
      </c>
      <c r="L67">
        <v>80</v>
      </c>
      <c r="M67">
        <v>12000</v>
      </c>
    </row>
    <row r="68" spans="1:25" x14ac:dyDescent="0.25">
      <c r="A68" t="s">
        <v>203</v>
      </c>
      <c r="G68" s="15"/>
      <c r="H68" s="15" t="s">
        <v>135</v>
      </c>
      <c r="K68">
        <v>0.15</v>
      </c>
      <c r="L68">
        <v>-9</v>
      </c>
      <c r="M68">
        <v>1000</v>
      </c>
    </row>
    <row r="69" spans="1:25" x14ac:dyDescent="0.25">
      <c r="A69" t="s">
        <v>203</v>
      </c>
      <c r="G69" s="15"/>
      <c r="H69" s="15" t="s">
        <v>136</v>
      </c>
      <c r="K69">
        <v>0</v>
      </c>
      <c r="L69">
        <v>0</v>
      </c>
      <c r="M69">
        <v>0</v>
      </c>
    </row>
    <row r="70" spans="1:25" x14ac:dyDescent="0.25">
      <c r="A70" t="s">
        <v>203</v>
      </c>
      <c r="G70" s="15"/>
      <c r="H70" s="15" t="s">
        <v>69</v>
      </c>
      <c r="K70">
        <v>0.28000000000000003</v>
      </c>
      <c r="L70" s="3">
        <v>300</v>
      </c>
      <c r="M70" s="3">
        <f>3600*33</f>
        <v>118800</v>
      </c>
      <c r="N70" s="34" t="str">
        <f>TEXT(L70/86400,CHOOSE(MATCH(L70,{0,60,3600},1),":ss","m:ss","[h]:mm:ss"))</f>
        <v>5:00</v>
      </c>
      <c r="O70" s="11" t="str">
        <f>TEXT(M70/86400,CHOOSE(MATCH(M70,{0,60,3600},1),":ss","m:ss","[h]:mm:ss"))</f>
        <v>33:00:00</v>
      </c>
    </row>
    <row r="71" spans="1:25" x14ac:dyDescent="0.25">
      <c r="A71" t="s">
        <v>203</v>
      </c>
      <c r="G71" s="15"/>
      <c r="H71" s="15" t="s">
        <v>142</v>
      </c>
      <c r="K71" s="15">
        <v>2.5000000000000001E-2</v>
      </c>
      <c r="L71" s="15">
        <v>20</v>
      </c>
      <c r="M71" s="15">
        <v>1000</v>
      </c>
    </row>
    <row r="72" spans="1:25" x14ac:dyDescent="0.25">
      <c r="G72" s="15"/>
      <c r="H72" s="15"/>
      <c r="K72" s="15"/>
      <c r="L72" s="15"/>
      <c r="M72" s="15"/>
    </row>
    <row r="73" spans="1:25" x14ac:dyDescent="0.25">
      <c r="A73" t="s">
        <v>151</v>
      </c>
      <c r="B73">
        <v>2106</v>
      </c>
      <c r="C73">
        <v>0</v>
      </c>
      <c r="D73" t="s">
        <v>144</v>
      </c>
      <c r="E73" t="s">
        <v>145</v>
      </c>
      <c r="F73" s="16">
        <v>500</v>
      </c>
      <c r="G73" s="15">
        <v>0</v>
      </c>
      <c r="H73" s="15">
        <v>0</v>
      </c>
      <c r="I73" s="24">
        <v>0</v>
      </c>
      <c r="J73">
        <v>0</v>
      </c>
      <c r="K73">
        <v>0</v>
      </c>
      <c r="L73">
        <v>0</v>
      </c>
      <c r="M73">
        <v>0</v>
      </c>
      <c r="N73" s="16">
        <v>0</v>
      </c>
      <c r="O73">
        <v>0</v>
      </c>
      <c r="P73">
        <v>0</v>
      </c>
      <c r="Q73">
        <v>0</v>
      </c>
      <c r="R73">
        <v>0</v>
      </c>
      <c r="S73" s="21">
        <v>0</v>
      </c>
      <c r="T73">
        <v>0</v>
      </c>
      <c r="U73" t="s">
        <v>146</v>
      </c>
      <c r="V73" t="s">
        <v>147</v>
      </c>
      <c r="W73" s="37" t="s">
        <v>257</v>
      </c>
      <c r="X73" t="s">
        <v>149</v>
      </c>
      <c r="Y73">
        <v>0</v>
      </c>
    </row>
    <row r="74" spans="1:25" x14ac:dyDescent="0.25">
      <c r="A74" t="s">
        <v>151</v>
      </c>
      <c r="B74">
        <v>2106</v>
      </c>
      <c r="C74">
        <v>1</v>
      </c>
      <c r="D74" t="s">
        <v>144</v>
      </c>
      <c r="E74" t="s">
        <v>152</v>
      </c>
      <c r="F74" s="16">
        <f t="shared" ref="F74:F88" si="19">VLOOKUP($C$66,$C$4:$M$9,4,FALSE)*(LOOKUP($C$65,$B$13:$B$28,$C$13:$C$28)+LOOKUP($C74,$B$13:$B$28,$D$13:$D$28))</f>
        <v>800</v>
      </c>
      <c r="G74" s="17">
        <f t="shared" ref="G74:G88" si="20">VLOOKUP($C$66,$C$4:$M$9,5,FALSE)*(LOOKUP($C$65,$B$13:$B$28,$C$13:$C$28)+LOOKUP($C74,$B$13:$B$28,$D$13:$D$28))</f>
        <v>12</v>
      </c>
      <c r="H74" s="15">
        <f>VLOOKUP($C$66,$C$4:$M$9,6,FALSE)</f>
        <v>1</v>
      </c>
      <c r="I74" s="24">
        <f>VLOOKUP($C$66,$C$4:$M$9,7,FALSE)*(LOOKUP($C$65,$B$13:$B$28,$C$13:$C$28)+LOOKUP($C74,$B$13:$B$28,$D$13:$D$28))</f>
        <v>8</v>
      </c>
      <c r="J74">
        <v>0</v>
      </c>
      <c r="K74">
        <f t="shared" ref="K74:K88" si="21">VLOOKUP($C$66,$C$4:$M$9,9,FALSE)</f>
        <v>4</v>
      </c>
      <c r="L74">
        <f t="shared" ref="L74:L88" si="22">VLOOKUP($C$66,$C$4:$M$9,10,FALSE)</f>
        <v>1</v>
      </c>
      <c r="M74">
        <v>0</v>
      </c>
      <c r="N74" s="35">
        <f>ROUND(GetValue($C74,$C$64,$K$65,$L$65,$M$65),-1)</f>
        <v>0</v>
      </c>
      <c r="O74" s="10">
        <f t="shared" ref="O74:O88" si="23">ROUND(GetValue($C74,$C$64,$K$66,$L$66,$M$66),-1)</f>
        <v>70</v>
      </c>
      <c r="P74" s="10">
        <f>ROUND(GetValue($C74,$C$64,$K$67,$L$67,$M$67),-1)</f>
        <v>80</v>
      </c>
      <c r="Q74" s="10">
        <f>ROUND(GetValue($C74,$C$64,$K$68,$L$68,$M$68),-1)</f>
        <v>0</v>
      </c>
      <c r="R74" s="10">
        <f>ROUND(GetValue($C74,$C$64,$K$69,$L$69,$M$69),-1)</f>
        <v>0</v>
      </c>
      <c r="S74" s="36">
        <v>25</v>
      </c>
      <c r="T74" s="37">
        <v>0</v>
      </c>
      <c r="U74" t="s">
        <v>146</v>
      </c>
      <c r="V74" t="s">
        <v>147</v>
      </c>
      <c r="W74" s="37" t="s">
        <v>257</v>
      </c>
      <c r="X74" t="s">
        <v>149</v>
      </c>
      <c r="Y74" s="10">
        <f>ROUND(GetValue($C74,$C$64,$K$71,$L$71,$M$71),0)</f>
        <v>20</v>
      </c>
    </row>
    <row r="75" spans="1:25" x14ac:dyDescent="0.25">
      <c r="A75" t="s">
        <v>151</v>
      </c>
      <c r="B75">
        <v>2106</v>
      </c>
      <c r="C75">
        <v>2</v>
      </c>
      <c r="D75" t="s">
        <v>144</v>
      </c>
      <c r="E75" t="s">
        <v>152</v>
      </c>
      <c r="F75" s="16">
        <f t="shared" si="19"/>
        <v>920</v>
      </c>
      <c r="G75" s="17">
        <f t="shared" si="20"/>
        <v>13.799999999999999</v>
      </c>
      <c r="H75" s="15">
        <f>H74</f>
        <v>1</v>
      </c>
      <c r="I75" s="24">
        <f t="shared" ref="I75:I88" si="24">VLOOKUP($C$66,$C$4:$M$9,7,FALSE)*(LOOKUP($C$40,$B$13:$B$28,$C$13:$C$28)+LOOKUP($C75,$B$13:$B$28,$D$13:$D$28))</f>
        <v>9.2000000000000011</v>
      </c>
      <c r="J75">
        <v>0</v>
      </c>
      <c r="K75" s="37">
        <f t="shared" si="21"/>
        <v>4</v>
      </c>
      <c r="L75" s="37">
        <f t="shared" si="22"/>
        <v>1</v>
      </c>
      <c r="M75">
        <v>0</v>
      </c>
      <c r="N75" s="35">
        <f t="shared" ref="N75:N88" si="25">ROUND(GetValue($C75,$C$64,$K$65,$L$65,$M$65),-1)</f>
        <v>0</v>
      </c>
      <c r="O75" s="10">
        <f t="shared" si="23"/>
        <v>140</v>
      </c>
      <c r="P75" s="10">
        <f t="shared" ref="P75:P88" si="26">ROUND(GetValue($C75,$C$64,$K$67,$L$67,$M$67),-1)</f>
        <v>200</v>
      </c>
      <c r="Q75" s="10">
        <f t="shared" ref="Q75:Q88" si="27">ROUND(GetValue($C75,$C$64,$K$68,$L$68,$M$68),-1)</f>
        <v>0</v>
      </c>
      <c r="R75" s="10">
        <f t="shared" ref="R75:R88" si="28">ROUND(GetValue($C75,$C$64,$K$69,$L$69,$M$69),-1)</f>
        <v>0</v>
      </c>
      <c r="S75" s="36">
        <v>295</v>
      </c>
      <c r="T75" s="37">
        <v>0</v>
      </c>
      <c r="U75" t="s">
        <v>146</v>
      </c>
      <c r="V75" t="s">
        <v>147</v>
      </c>
      <c r="W75" s="37" t="s">
        <v>257</v>
      </c>
      <c r="X75" t="s">
        <v>149</v>
      </c>
      <c r="Y75" s="10">
        <f t="shared" ref="Y75:Y88" si="29">ROUND(GetValue($C75,$C$64,$K$71,$L$71,$M$71),0)</f>
        <v>38</v>
      </c>
    </row>
    <row r="76" spans="1:25" x14ac:dyDescent="0.25">
      <c r="A76" t="s">
        <v>151</v>
      </c>
      <c r="B76">
        <v>2106</v>
      </c>
      <c r="C76">
        <v>3</v>
      </c>
      <c r="D76" t="s">
        <v>144</v>
      </c>
      <c r="E76" t="s">
        <v>152</v>
      </c>
      <c r="F76" s="16">
        <f t="shared" si="19"/>
        <v>1120</v>
      </c>
      <c r="G76" s="17">
        <f t="shared" si="20"/>
        <v>16.8</v>
      </c>
      <c r="H76" s="15">
        <f t="shared" ref="H76:H88" si="30">H75</f>
        <v>1</v>
      </c>
      <c r="I76" s="24">
        <f t="shared" si="24"/>
        <v>11.200000000000001</v>
      </c>
      <c r="J76">
        <v>0</v>
      </c>
      <c r="K76" s="37">
        <f t="shared" si="21"/>
        <v>4</v>
      </c>
      <c r="L76" s="37">
        <f t="shared" si="22"/>
        <v>1</v>
      </c>
      <c r="M76">
        <v>0</v>
      </c>
      <c r="N76" s="35">
        <f t="shared" si="25"/>
        <v>0</v>
      </c>
      <c r="O76" s="10">
        <f t="shared" si="23"/>
        <v>230</v>
      </c>
      <c r="P76" s="10">
        <f t="shared" si="26"/>
        <v>360</v>
      </c>
      <c r="Q76" s="10">
        <f t="shared" si="27"/>
        <v>0</v>
      </c>
      <c r="R76" s="10">
        <f t="shared" si="28"/>
        <v>0</v>
      </c>
      <c r="S76" s="36">
        <v>1200</v>
      </c>
      <c r="T76" s="37">
        <v>0</v>
      </c>
      <c r="U76" t="s">
        <v>146</v>
      </c>
      <c r="V76" t="s">
        <v>147</v>
      </c>
      <c r="W76" s="37" t="s">
        <v>257</v>
      </c>
      <c r="X76" t="s">
        <v>149</v>
      </c>
      <c r="Y76" s="10">
        <f t="shared" si="29"/>
        <v>57</v>
      </c>
    </row>
    <row r="77" spans="1:25" x14ac:dyDescent="0.25">
      <c r="A77" t="s">
        <v>151</v>
      </c>
      <c r="B77">
        <v>2106</v>
      </c>
      <c r="C77">
        <v>4</v>
      </c>
      <c r="D77" t="s">
        <v>144</v>
      </c>
      <c r="E77" t="s">
        <v>152</v>
      </c>
      <c r="F77" s="16">
        <f t="shared" si="19"/>
        <v>1360</v>
      </c>
      <c r="G77" s="17">
        <f t="shared" si="20"/>
        <v>20.399999999999999</v>
      </c>
      <c r="H77" s="15">
        <f t="shared" si="30"/>
        <v>1</v>
      </c>
      <c r="I77" s="24">
        <f t="shared" si="24"/>
        <v>13.600000000000001</v>
      </c>
      <c r="J77">
        <v>0</v>
      </c>
      <c r="K77" s="37">
        <f t="shared" si="21"/>
        <v>4</v>
      </c>
      <c r="L77" s="37">
        <f t="shared" si="22"/>
        <v>1</v>
      </c>
      <c r="M77">
        <v>0</v>
      </c>
      <c r="N77" s="35">
        <f t="shared" si="25"/>
        <v>0</v>
      </c>
      <c r="O77" s="10">
        <f t="shared" si="23"/>
        <v>340</v>
      </c>
      <c r="P77" s="10">
        <f t="shared" si="26"/>
        <v>560</v>
      </c>
      <c r="Q77" s="10">
        <f t="shared" si="27"/>
        <v>0</v>
      </c>
      <c r="R77" s="10">
        <f t="shared" si="28"/>
        <v>0</v>
      </c>
      <c r="S77" s="36">
        <f t="shared" ref="S77:S88" si="31">ROUND(GetValue($C77,$C$64,$K$70,$L$70,$M$70),-1)</f>
        <v>3410</v>
      </c>
      <c r="T77" s="37">
        <v>0</v>
      </c>
      <c r="U77" t="s">
        <v>146</v>
      </c>
      <c r="V77" t="s">
        <v>147</v>
      </c>
      <c r="W77" s="37" t="s">
        <v>257</v>
      </c>
      <c r="X77" t="s">
        <v>149</v>
      </c>
      <c r="Y77" s="10">
        <f t="shared" si="29"/>
        <v>76</v>
      </c>
    </row>
    <row r="78" spans="1:25" x14ac:dyDescent="0.25">
      <c r="A78" t="s">
        <v>151</v>
      </c>
      <c r="B78">
        <v>2106</v>
      </c>
      <c r="C78">
        <v>5</v>
      </c>
      <c r="D78" t="s">
        <v>144</v>
      </c>
      <c r="E78" t="s">
        <v>152</v>
      </c>
      <c r="F78" s="16">
        <f t="shared" si="19"/>
        <v>1560</v>
      </c>
      <c r="G78" s="17">
        <f t="shared" si="20"/>
        <v>23.4</v>
      </c>
      <c r="H78" s="15">
        <f t="shared" si="30"/>
        <v>1</v>
      </c>
      <c r="I78" s="24">
        <f t="shared" si="24"/>
        <v>15.600000000000001</v>
      </c>
      <c r="J78">
        <v>0</v>
      </c>
      <c r="K78" s="37">
        <f t="shared" si="21"/>
        <v>4</v>
      </c>
      <c r="L78" s="37">
        <f t="shared" si="22"/>
        <v>1</v>
      </c>
      <c r="M78">
        <v>0</v>
      </c>
      <c r="N78" s="35">
        <f t="shared" si="25"/>
        <v>0</v>
      </c>
      <c r="O78" s="10">
        <f t="shared" si="23"/>
        <v>490</v>
      </c>
      <c r="P78" s="10">
        <f t="shared" si="26"/>
        <v>810</v>
      </c>
      <c r="Q78" s="10">
        <f t="shared" si="27"/>
        <v>0</v>
      </c>
      <c r="R78" s="10">
        <f t="shared" si="28"/>
        <v>0</v>
      </c>
      <c r="S78" s="36">
        <f t="shared" si="31"/>
        <v>5180</v>
      </c>
      <c r="T78" s="37">
        <v>0</v>
      </c>
      <c r="U78" t="s">
        <v>146</v>
      </c>
      <c r="V78" t="s">
        <v>147</v>
      </c>
      <c r="W78" s="37" t="s">
        <v>257</v>
      </c>
      <c r="X78" t="s">
        <v>149</v>
      </c>
      <c r="Y78" s="10">
        <f t="shared" si="29"/>
        <v>96</v>
      </c>
    </row>
    <row r="79" spans="1:25" x14ac:dyDescent="0.25">
      <c r="A79" t="s">
        <v>151</v>
      </c>
      <c r="B79">
        <v>2106</v>
      </c>
      <c r="C79">
        <v>6</v>
      </c>
      <c r="D79" t="s">
        <v>144</v>
      </c>
      <c r="E79" t="s">
        <v>152</v>
      </c>
      <c r="F79" s="16">
        <f t="shared" si="19"/>
        <v>1800</v>
      </c>
      <c r="G79" s="17">
        <f t="shared" si="20"/>
        <v>27</v>
      </c>
      <c r="H79" s="15">
        <f t="shared" si="30"/>
        <v>1</v>
      </c>
      <c r="I79" s="24">
        <f t="shared" si="24"/>
        <v>18</v>
      </c>
      <c r="J79">
        <v>0</v>
      </c>
      <c r="K79" s="37">
        <f t="shared" si="21"/>
        <v>4</v>
      </c>
      <c r="L79" s="37">
        <f t="shared" si="22"/>
        <v>1</v>
      </c>
      <c r="M79">
        <v>0</v>
      </c>
      <c r="N79" s="35">
        <f t="shared" si="25"/>
        <v>0</v>
      </c>
      <c r="O79" s="10">
        <f t="shared" si="23"/>
        <v>680</v>
      </c>
      <c r="P79" s="10">
        <f t="shared" si="26"/>
        <v>1120</v>
      </c>
      <c r="Q79" s="10">
        <f t="shared" si="27"/>
        <v>0</v>
      </c>
      <c r="R79" s="10">
        <f t="shared" si="28"/>
        <v>0</v>
      </c>
      <c r="S79" s="36">
        <f t="shared" si="31"/>
        <v>7520</v>
      </c>
      <c r="T79" s="37">
        <v>0</v>
      </c>
      <c r="U79" t="s">
        <v>146</v>
      </c>
      <c r="V79" t="s">
        <v>147</v>
      </c>
      <c r="W79" s="37" t="s">
        <v>257</v>
      </c>
      <c r="X79" t="s">
        <v>149</v>
      </c>
      <c r="Y79" s="10">
        <f t="shared" si="29"/>
        <v>116</v>
      </c>
    </row>
    <row r="80" spans="1:25" x14ac:dyDescent="0.25">
      <c r="A80" t="s">
        <v>151</v>
      </c>
      <c r="B80">
        <v>2106</v>
      </c>
      <c r="C80">
        <v>7</v>
      </c>
      <c r="D80" t="s">
        <v>144</v>
      </c>
      <c r="E80" t="s">
        <v>152</v>
      </c>
      <c r="F80" s="16">
        <f t="shared" si="19"/>
        <v>2080</v>
      </c>
      <c r="G80" s="17">
        <f t="shared" si="20"/>
        <v>31.2</v>
      </c>
      <c r="H80" s="15">
        <f t="shared" si="30"/>
        <v>1</v>
      </c>
      <c r="I80" s="24">
        <f t="shared" si="24"/>
        <v>20.8</v>
      </c>
      <c r="J80">
        <v>0</v>
      </c>
      <c r="K80" s="37">
        <f t="shared" si="21"/>
        <v>4</v>
      </c>
      <c r="L80" s="37">
        <f t="shared" si="22"/>
        <v>1</v>
      </c>
      <c r="M80">
        <v>0</v>
      </c>
      <c r="N80" s="35">
        <f t="shared" si="25"/>
        <v>0</v>
      </c>
      <c r="O80" s="10">
        <f t="shared" si="23"/>
        <v>920</v>
      </c>
      <c r="P80" s="10">
        <f t="shared" si="26"/>
        <v>1520</v>
      </c>
      <c r="Q80" s="10">
        <f t="shared" si="27"/>
        <v>0</v>
      </c>
      <c r="R80" s="10">
        <f t="shared" si="28"/>
        <v>0</v>
      </c>
      <c r="S80" s="36">
        <f t="shared" si="31"/>
        <v>10620</v>
      </c>
      <c r="T80" s="37">
        <v>0</v>
      </c>
      <c r="U80" t="s">
        <v>146</v>
      </c>
      <c r="V80" t="s">
        <v>147</v>
      </c>
      <c r="W80" s="37" t="s">
        <v>257</v>
      </c>
      <c r="X80" t="s">
        <v>149</v>
      </c>
      <c r="Y80" s="10">
        <f t="shared" si="29"/>
        <v>136</v>
      </c>
    </row>
    <row r="81" spans="1:25" x14ac:dyDescent="0.25">
      <c r="A81" t="s">
        <v>151</v>
      </c>
      <c r="B81">
        <v>2106</v>
      </c>
      <c r="C81">
        <v>8</v>
      </c>
      <c r="D81" t="s">
        <v>144</v>
      </c>
      <c r="E81" t="s">
        <v>152</v>
      </c>
      <c r="F81" s="16">
        <f t="shared" si="19"/>
        <v>2360</v>
      </c>
      <c r="G81" s="17">
        <f t="shared" si="20"/>
        <v>35.4</v>
      </c>
      <c r="H81" s="15">
        <f t="shared" si="30"/>
        <v>1</v>
      </c>
      <c r="I81" s="24">
        <f t="shared" si="24"/>
        <v>23.6</v>
      </c>
      <c r="J81">
        <v>0</v>
      </c>
      <c r="K81" s="37">
        <f t="shared" si="21"/>
        <v>4</v>
      </c>
      <c r="L81" s="37">
        <f t="shared" si="22"/>
        <v>1</v>
      </c>
      <c r="M81">
        <v>0</v>
      </c>
      <c r="N81" s="35">
        <f t="shared" si="25"/>
        <v>100</v>
      </c>
      <c r="O81" s="10">
        <f t="shared" si="23"/>
        <v>1230</v>
      </c>
      <c r="P81" s="10">
        <f t="shared" si="26"/>
        <v>2010</v>
      </c>
      <c r="Q81" s="10">
        <f t="shared" si="27"/>
        <v>0</v>
      </c>
      <c r="R81" s="10">
        <f t="shared" si="28"/>
        <v>0</v>
      </c>
      <c r="S81" s="36">
        <f t="shared" si="31"/>
        <v>14710</v>
      </c>
      <c r="T81" s="37">
        <v>0</v>
      </c>
      <c r="U81" t="s">
        <v>146</v>
      </c>
      <c r="V81" t="s">
        <v>147</v>
      </c>
      <c r="W81" s="37" t="s">
        <v>257</v>
      </c>
      <c r="X81" t="s">
        <v>149</v>
      </c>
      <c r="Y81" s="10">
        <f t="shared" si="29"/>
        <v>157</v>
      </c>
    </row>
    <row r="82" spans="1:25" x14ac:dyDescent="0.25">
      <c r="A82" t="s">
        <v>151</v>
      </c>
      <c r="B82">
        <v>2106</v>
      </c>
      <c r="C82">
        <v>9</v>
      </c>
      <c r="D82" t="s">
        <v>144</v>
      </c>
      <c r="E82" t="s">
        <v>152</v>
      </c>
      <c r="F82" s="16">
        <f t="shared" si="19"/>
        <v>2680</v>
      </c>
      <c r="G82" s="17">
        <f t="shared" si="20"/>
        <v>40.199999999999996</v>
      </c>
      <c r="H82" s="15">
        <f t="shared" si="30"/>
        <v>1</v>
      </c>
      <c r="I82" s="24">
        <f t="shared" si="24"/>
        <v>26.8</v>
      </c>
      <c r="J82">
        <v>0</v>
      </c>
      <c r="K82" s="37">
        <f t="shared" si="21"/>
        <v>4</v>
      </c>
      <c r="L82" s="37">
        <f t="shared" si="22"/>
        <v>1</v>
      </c>
      <c r="M82">
        <v>0</v>
      </c>
      <c r="N82" s="35">
        <f t="shared" si="25"/>
        <v>250</v>
      </c>
      <c r="O82" s="10">
        <f t="shared" si="23"/>
        <v>1630</v>
      </c>
      <c r="P82" s="10">
        <f t="shared" si="26"/>
        <v>2640</v>
      </c>
      <c r="Q82" s="10">
        <f t="shared" si="27"/>
        <v>0</v>
      </c>
      <c r="R82" s="10">
        <f t="shared" si="28"/>
        <v>0</v>
      </c>
      <c r="S82" s="36">
        <f t="shared" si="31"/>
        <v>20130</v>
      </c>
      <c r="T82" s="37">
        <v>0</v>
      </c>
      <c r="U82" t="s">
        <v>146</v>
      </c>
      <c r="V82" t="s">
        <v>147</v>
      </c>
      <c r="W82" s="37" t="s">
        <v>257</v>
      </c>
      <c r="X82" t="s">
        <v>149</v>
      </c>
      <c r="Y82" s="10">
        <f t="shared" si="29"/>
        <v>179</v>
      </c>
    </row>
    <row r="83" spans="1:25" x14ac:dyDescent="0.25">
      <c r="A83" t="s">
        <v>151</v>
      </c>
      <c r="B83">
        <v>2106</v>
      </c>
      <c r="C83">
        <v>10</v>
      </c>
      <c r="D83" t="s">
        <v>144</v>
      </c>
      <c r="E83" t="s">
        <v>152</v>
      </c>
      <c r="F83" s="16">
        <f t="shared" si="19"/>
        <v>3040</v>
      </c>
      <c r="G83" s="17">
        <f t="shared" si="20"/>
        <v>45.6</v>
      </c>
      <c r="H83" s="15">
        <f t="shared" si="30"/>
        <v>1</v>
      </c>
      <c r="I83" s="24">
        <f t="shared" si="24"/>
        <v>30.400000000000002</v>
      </c>
      <c r="J83">
        <v>0</v>
      </c>
      <c r="K83" s="37">
        <f t="shared" si="21"/>
        <v>4</v>
      </c>
      <c r="L83" s="37">
        <f t="shared" si="22"/>
        <v>1</v>
      </c>
      <c r="M83">
        <v>0</v>
      </c>
      <c r="N83" s="35">
        <f t="shared" si="25"/>
        <v>470</v>
      </c>
      <c r="O83" s="10">
        <f t="shared" si="23"/>
        <v>2140</v>
      </c>
      <c r="P83" s="10">
        <f t="shared" si="26"/>
        <v>3420</v>
      </c>
      <c r="Q83" s="10">
        <f t="shared" si="27"/>
        <v>70</v>
      </c>
      <c r="R83" s="10">
        <f t="shared" si="28"/>
        <v>0</v>
      </c>
      <c r="S83" s="36">
        <f t="shared" si="31"/>
        <v>27310</v>
      </c>
      <c r="T83" s="37">
        <v>0</v>
      </c>
      <c r="U83" t="s">
        <v>146</v>
      </c>
      <c r="V83" t="s">
        <v>147</v>
      </c>
      <c r="W83" s="37" t="s">
        <v>257</v>
      </c>
      <c r="X83" t="s">
        <v>149</v>
      </c>
      <c r="Y83" s="10">
        <f t="shared" si="29"/>
        <v>201</v>
      </c>
    </row>
    <row r="84" spans="1:25" x14ac:dyDescent="0.25">
      <c r="A84" t="s">
        <v>151</v>
      </c>
      <c r="B84">
        <v>2106</v>
      </c>
      <c r="C84">
        <v>11</v>
      </c>
      <c r="D84" t="s">
        <v>144</v>
      </c>
      <c r="E84" t="s">
        <v>152</v>
      </c>
      <c r="F84" s="16">
        <f t="shared" si="19"/>
        <v>3400</v>
      </c>
      <c r="G84" s="17">
        <f t="shared" si="20"/>
        <v>51</v>
      </c>
      <c r="H84" s="15">
        <f t="shared" si="30"/>
        <v>1</v>
      </c>
      <c r="I84" s="24">
        <f t="shared" si="24"/>
        <v>34</v>
      </c>
      <c r="J84">
        <v>0</v>
      </c>
      <c r="K84" s="37">
        <f t="shared" si="21"/>
        <v>4</v>
      </c>
      <c r="L84" s="37">
        <f t="shared" si="22"/>
        <v>1</v>
      </c>
      <c r="M84">
        <v>0</v>
      </c>
      <c r="N84" s="35">
        <f t="shared" si="25"/>
        <v>810</v>
      </c>
      <c r="O84" s="10">
        <f t="shared" si="23"/>
        <v>2800</v>
      </c>
      <c r="P84" s="10">
        <f t="shared" si="26"/>
        <v>4410</v>
      </c>
      <c r="Q84" s="10">
        <f t="shared" si="27"/>
        <v>140</v>
      </c>
      <c r="R84" s="10">
        <f t="shared" si="28"/>
        <v>0</v>
      </c>
      <c r="S84" s="36">
        <f t="shared" si="31"/>
        <v>36800</v>
      </c>
      <c r="T84" s="37">
        <v>0</v>
      </c>
      <c r="U84" t="s">
        <v>146</v>
      </c>
      <c r="V84" t="s">
        <v>147</v>
      </c>
      <c r="W84" s="37" t="s">
        <v>257</v>
      </c>
      <c r="X84" t="s">
        <v>149</v>
      </c>
      <c r="Y84" s="10">
        <f t="shared" si="29"/>
        <v>224</v>
      </c>
    </row>
    <row r="85" spans="1:25" x14ac:dyDescent="0.25">
      <c r="A85" t="s">
        <v>151</v>
      </c>
      <c r="B85">
        <v>2106</v>
      </c>
      <c r="C85">
        <v>12</v>
      </c>
      <c r="D85" t="s">
        <v>144</v>
      </c>
      <c r="E85" t="s">
        <v>152</v>
      </c>
      <c r="F85" s="16">
        <f t="shared" si="19"/>
        <v>3800</v>
      </c>
      <c r="G85" s="17">
        <f t="shared" si="20"/>
        <v>57</v>
      </c>
      <c r="H85" s="15">
        <f t="shared" si="30"/>
        <v>1</v>
      </c>
      <c r="I85" s="24">
        <f t="shared" si="24"/>
        <v>38</v>
      </c>
      <c r="J85">
        <v>0</v>
      </c>
      <c r="K85" s="37">
        <f t="shared" si="21"/>
        <v>4</v>
      </c>
      <c r="L85" s="37">
        <f t="shared" si="22"/>
        <v>1</v>
      </c>
      <c r="M85">
        <v>0</v>
      </c>
      <c r="N85" s="35">
        <f t="shared" si="25"/>
        <v>1300</v>
      </c>
      <c r="O85" s="10">
        <f t="shared" si="23"/>
        <v>3640</v>
      </c>
      <c r="P85" s="10">
        <f t="shared" si="26"/>
        <v>5660</v>
      </c>
      <c r="Q85" s="10">
        <f t="shared" si="27"/>
        <v>230</v>
      </c>
      <c r="R85" s="10">
        <f t="shared" si="28"/>
        <v>0</v>
      </c>
      <c r="S85" s="36">
        <f t="shared" si="31"/>
        <v>49350</v>
      </c>
      <c r="T85" s="37">
        <v>0</v>
      </c>
      <c r="U85" t="s">
        <v>146</v>
      </c>
      <c r="V85" t="s">
        <v>147</v>
      </c>
      <c r="W85" s="37" t="s">
        <v>257</v>
      </c>
      <c r="X85" t="s">
        <v>149</v>
      </c>
      <c r="Y85" s="10">
        <f t="shared" si="29"/>
        <v>248</v>
      </c>
    </row>
    <row r="86" spans="1:25" x14ac:dyDescent="0.25">
      <c r="A86" t="s">
        <v>151</v>
      </c>
      <c r="B86">
        <v>2106</v>
      </c>
      <c r="C86">
        <v>13</v>
      </c>
      <c r="D86" t="s">
        <v>144</v>
      </c>
      <c r="E86" t="s">
        <v>152</v>
      </c>
      <c r="F86" s="16">
        <f t="shared" si="19"/>
        <v>4240</v>
      </c>
      <c r="G86" s="17">
        <f t="shared" si="20"/>
        <v>63.599999999999994</v>
      </c>
      <c r="H86" s="15">
        <f t="shared" si="30"/>
        <v>1</v>
      </c>
      <c r="I86" s="24">
        <f t="shared" si="24"/>
        <v>42.400000000000006</v>
      </c>
      <c r="J86">
        <v>0</v>
      </c>
      <c r="K86" s="37">
        <f t="shared" si="21"/>
        <v>4</v>
      </c>
      <c r="L86" s="37">
        <f t="shared" si="22"/>
        <v>1</v>
      </c>
      <c r="M86">
        <v>0</v>
      </c>
      <c r="N86" s="35">
        <f t="shared" si="25"/>
        <v>2040</v>
      </c>
      <c r="O86" s="10">
        <f t="shared" si="23"/>
        <v>4720</v>
      </c>
      <c r="P86" s="10">
        <f t="shared" si="26"/>
        <v>7220</v>
      </c>
      <c r="Q86" s="10">
        <f t="shared" si="27"/>
        <v>330</v>
      </c>
      <c r="R86" s="10">
        <f t="shared" si="28"/>
        <v>0</v>
      </c>
      <c r="S86" s="36">
        <f t="shared" si="31"/>
        <v>65970</v>
      </c>
      <c r="T86" s="37">
        <v>0</v>
      </c>
      <c r="U86" t="s">
        <v>146</v>
      </c>
      <c r="V86" t="s">
        <v>147</v>
      </c>
      <c r="W86" s="37" t="s">
        <v>257</v>
      </c>
      <c r="X86" t="s">
        <v>149</v>
      </c>
      <c r="Y86" s="10">
        <f t="shared" si="29"/>
        <v>271</v>
      </c>
    </row>
    <row r="87" spans="1:25" x14ac:dyDescent="0.25">
      <c r="A87" t="s">
        <v>151</v>
      </c>
      <c r="B87">
        <v>2106</v>
      </c>
      <c r="C87">
        <v>14</v>
      </c>
      <c r="D87" t="s">
        <v>144</v>
      </c>
      <c r="E87" t="s">
        <v>152</v>
      </c>
      <c r="F87" s="16">
        <f t="shared" si="19"/>
        <v>4680</v>
      </c>
      <c r="G87" s="17">
        <f t="shared" si="20"/>
        <v>70.2</v>
      </c>
      <c r="H87" s="15">
        <f t="shared" si="30"/>
        <v>1</v>
      </c>
      <c r="I87" s="24">
        <f t="shared" si="24"/>
        <v>46.800000000000004</v>
      </c>
      <c r="J87">
        <v>0</v>
      </c>
      <c r="K87" s="37">
        <f t="shared" si="21"/>
        <v>4</v>
      </c>
      <c r="L87" s="37">
        <f t="shared" si="22"/>
        <v>1</v>
      </c>
      <c r="M87">
        <v>0</v>
      </c>
      <c r="N87" s="35">
        <f t="shared" si="25"/>
        <v>3150</v>
      </c>
      <c r="O87" s="10">
        <f t="shared" si="23"/>
        <v>6110</v>
      </c>
      <c r="P87" s="10">
        <f t="shared" si="26"/>
        <v>9200</v>
      </c>
      <c r="Q87" s="10">
        <f t="shared" si="27"/>
        <v>450</v>
      </c>
      <c r="R87" s="10">
        <f t="shared" si="28"/>
        <v>0</v>
      </c>
      <c r="S87" s="36">
        <f t="shared" si="31"/>
        <v>87950</v>
      </c>
      <c r="T87" s="37">
        <v>0</v>
      </c>
      <c r="U87" t="s">
        <v>146</v>
      </c>
      <c r="V87" t="s">
        <v>147</v>
      </c>
      <c r="W87" s="37" t="s">
        <v>257</v>
      </c>
      <c r="X87" t="s">
        <v>149</v>
      </c>
      <c r="Y87" s="10">
        <f t="shared" si="29"/>
        <v>296</v>
      </c>
    </row>
    <row r="88" spans="1:25" x14ac:dyDescent="0.25">
      <c r="A88" t="s">
        <v>151</v>
      </c>
      <c r="B88">
        <v>2106</v>
      </c>
      <c r="C88">
        <v>15</v>
      </c>
      <c r="D88" t="s">
        <v>144</v>
      </c>
      <c r="E88" t="s">
        <v>152</v>
      </c>
      <c r="F88" s="16">
        <f t="shared" si="19"/>
        <v>5200</v>
      </c>
      <c r="G88" s="17">
        <f t="shared" si="20"/>
        <v>78</v>
      </c>
      <c r="H88" s="15">
        <f t="shared" si="30"/>
        <v>1</v>
      </c>
      <c r="I88" s="24">
        <f t="shared" si="24"/>
        <v>52</v>
      </c>
      <c r="J88">
        <v>0</v>
      </c>
      <c r="K88" s="37">
        <f t="shared" si="21"/>
        <v>4</v>
      </c>
      <c r="L88" s="37">
        <f t="shared" si="22"/>
        <v>1</v>
      </c>
      <c r="M88">
        <v>0</v>
      </c>
      <c r="N88" s="35">
        <f t="shared" si="25"/>
        <v>4800</v>
      </c>
      <c r="O88" s="10">
        <f t="shared" si="23"/>
        <v>7900</v>
      </c>
      <c r="P88" s="10">
        <f t="shared" si="26"/>
        <v>11680</v>
      </c>
      <c r="Q88" s="10">
        <f t="shared" si="27"/>
        <v>590</v>
      </c>
      <c r="R88" s="10">
        <f t="shared" si="28"/>
        <v>0</v>
      </c>
      <c r="S88" s="36">
        <f t="shared" si="31"/>
        <v>117040</v>
      </c>
      <c r="T88" s="37">
        <v>0</v>
      </c>
      <c r="U88" t="s">
        <v>146</v>
      </c>
      <c r="V88" t="s">
        <v>147</v>
      </c>
      <c r="W88" s="37" t="s">
        <v>257</v>
      </c>
      <c r="X88" t="s">
        <v>149</v>
      </c>
      <c r="Y88" s="10">
        <f t="shared" si="29"/>
        <v>321</v>
      </c>
    </row>
    <row r="89" spans="1:25" x14ac:dyDescent="0.25">
      <c r="G89" s="15"/>
      <c r="H89" s="15"/>
      <c r="N89" s="35"/>
      <c r="O89" s="10"/>
      <c r="P89" s="10"/>
      <c r="Q89" s="10"/>
      <c r="R89" s="10"/>
      <c r="S89" s="36"/>
    </row>
    <row r="90" spans="1:25" x14ac:dyDescent="0.25">
      <c r="A90" t="s">
        <v>203</v>
      </c>
      <c r="B90" s="15" t="s">
        <v>201</v>
      </c>
      <c r="C90">
        <v>15</v>
      </c>
      <c r="G90" s="15"/>
      <c r="H90" s="15"/>
      <c r="K90" s="7" t="s">
        <v>1</v>
      </c>
      <c r="L90" s="8" t="s">
        <v>2</v>
      </c>
      <c r="M90" s="8" t="s">
        <v>194</v>
      </c>
      <c r="N90" s="33" t="s">
        <v>204</v>
      </c>
      <c r="O90" s="12" t="s">
        <v>205</v>
      </c>
    </row>
    <row r="91" spans="1:25" x14ac:dyDescent="0.25">
      <c r="A91" t="s">
        <v>203</v>
      </c>
      <c r="B91" t="s">
        <v>202</v>
      </c>
      <c r="C91">
        <v>1</v>
      </c>
      <c r="G91" s="15"/>
      <c r="H91" s="15" t="s">
        <v>132</v>
      </c>
      <c r="K91">
        <v>0.15</v>
      </c>
      <c r="L91">
        <v>-7</v>
      </c>
      <c r="M91">
        <v>4000</v>
      </c>
    </row>
    <row r="92" spans="1:25" x14ac:dyDescent="0.25">
      <c r="A92" t="s">
        <v>203</v>
      </c>
      <c r="B92" t="s">
        <v>128</v>
      </c>
      <c r="C92" t="s">
        <v>116</v>
      </c>
      <c r="G92" s="15"/>
      <c r="H92" s="15" t="s">
        <v>133</v>
      </c>
      <c r="K92">
        <v>0.25</v>
      </c>
      <c r="L92">
        <v>90</v>
      </c>
      <c r="M92">
        <v>12000</v>
      </c>
    </row>
    <row r="93" spans="1:25" x14ac:dyDescent="0.25">
      <c r="A93" t="s">
        <v>203</v>
      </c>
      <c r="G93" s="15"/>
      <c r="H93" s="15" t="s">
        <v>198</v>
      </c>
      <c r="K93">
        <v>0.28000000000000003</v>
      </c>
      <c r="L93">
        <v>55</v>
      </c>
      <c r="M93">
        <v>9000</v>
      </c>
    </row>
    <row r="94" spans="1:25" x14ac:dyDescent="0.25">
      <c r="A94" t="s">
        <v>203</v>
      </c>
      <c r="G94" s="15"/>
      <c r="H94" s="15" t="s">
        <v>135</v>
      </c>
      <c r="K94">
        <v>0.15</v>
      </c>
      <c r="L94">
        <v>-9</v>
      </c>
      <c r="M94">
        <v>2000</v>
      </c>
    </row>
    <row r="95" spans="1:25" x14ac:dyDescent="0.25">
      <c r="A95" t="s">
        <v>203</v>
      </c>
      <c r="G95" s="15"/>
      <c r="H95" s="15" t="s">
        <v>136</v>
      </c>
      <c r="K95">
        <v>0</v>
      </c>
      <c r="L95">
        <v>0</v>
      </c>
      <c r="M95">
        <v>0</v>
      </c>
    </row>
    <row r="96" spans="1:25" x14ac:dyDescent="0.25">
      <c r="A96" t="s">
        <v>203</v>
      </c>
      <c r="G96" s="15"/>
      <c r="H96" s="15" t="s">
        <v>69</v>
      </c>
      <c r="K96">
        <v>0.28000000000000003</v>
      </c>
      <c r="L96" s="3">
        <v>300</v>
      </c>
      <c r="M96" s="3">
        <f>3600*33</f>
        <v>118800</v>
      </c>
      <c r="N96" s="34" t="str">
        <f>TEXT(L96/86400,CHOOSE(MATCH(L96,{0,60,3600},1),":ss","m:ss","[h]:mm:ss"))</f>
        <v>5:00</v>
      </c>
      <c r="O96" s="11" t="str">
        <f>TEXT(M96/86400,CHOOSE(MATCH(M96,{0,60,3600},1),":ss","m:ss","[h]:mm:ss"))</f>
        <v>33:00:00</v>
      </c>
    </row>
    <row r="97" spans="1:25" x14ac:dyDescent="0.25">
      <c r="G97" s="15"/>
      <c r="H97" s="15"/>
      <c r="L97" s="3"/>
      <c r="M97" s="3"/>
    </row>
    <row r="98" spans="1:25" x14ac:dyDescent="0.25">
      <c r="A98" t="s">
        <v>153</v>
      </c>
      <c r="B98">
        <v>2107</v>
      </c>
      <c r="C98">
        <v>0</v>
      </c>
      <c r="D98" t="s">
        <v>144</v>
      </c>
      <c r="E98" t="s">
        <v>145</v>
      </c>
      <c r="F98" s="16">
        <v>500</v>
      </c>
      <c r="G98" s="15">
        <v>0</v>
      </c>
      <c r="H98" s="15">
        <v>0</v>
      </c>
      <c r="I98" s="24">
        <v>0</v>
      </c>
      <c r="J98">
        <v>0</v>
      </c>
      <c r="K98">
        <v>0</v>
      </c>
      <c r="L98">
        <v>0</v>
      </c>
      <c r="M98">
        <v>0</v>
      </c>
      <c r="N98" s="16">
        <v>0</v>
      </c>
      <c r="O98">
        <v>0</v>
      </c>
      <c r="P98">
        <v>0</v>
      </c>
      <c r="Q98">
        <v>0</v>
      </c>
      <c r="R98">
        <v>0</v>
      </c>
      <c r="S98" s="21">
        <v>0</v>
      </c>
      <c r="T98">
        <v>0</v>
      </c>
      <c r="U98" t="s">
        <v>146</v>
      </c>
      <c r="V98" t="s">
        <v>147</v>
      </c>
      <c r="W98" s="37" t="s">
        <v>257</v>
      </c>
      <c r="X98" t="s">
        <v>149</v>
      </c>
      <c r="Y98">
        <v>0</v>
      </c>
    </row>
    <row r="99" spans="1:25" x14ac:dyDescent="0.25">
      <c r="A99" t="s">
        <v>153</v>
      </c>
      <c r="B99">
        <v>2107</v>
      </c>
      <c r="C99">
        <v>1</v>
      </c>
      <c r="D99" t="s">
        <v>144</v>
      </c>
      <c r="E99" t="s">
        <v>154</v>
      </c>
      <c r="F99" s="16">
        <f>VLOOKUP($C$92,$C$4:$M$9,4,FALSE)*(LOOKUP($C$91,$B$13:$B$28,$C$13:$C$28)+LOOKUP($C99,$B$13:$B$28,$D$13:$D$28))</f>
        <v>800</v>
      </c>
      <c r="G99" s="17">
        <f t="shared" ref="G99:G113" si="32">VLOOKUP($C$92,$C$4:$M$9,5,FALSE)*(LOOKUP($C$91,$B$13:$B$28,$C$13:$C$28)+LOOKUP($C99,$B$13:$B$28,$D$13:$D$28))</f>
        <v>12</v>
      </c>
      <c r="H99" s="15">
        <f t="shared" ref="H99:H113" si="33">VLOOKUP($C$92,$C$4:$M$9,6,FALSE)</f>
        <v>1</v>
      </c>
      <c r="I99" s="24">
        <f>VLOOKUP($C$92,$C$4:$M$9,7,FALSE)*(LOOKUP($C$91,$B$13:$B$28,$C$13:$C$28)+LOOKUP($C99,$B$13:$B$28,$D$13:$D$28))</f>
        <v>8</v>
      </c>
      <c r="J99">
        <v>0</v>
      </c>
      <c r="K99">
        <f t="shared" ref="K99:K113" si="34">VLOOKUP($C$92,$C$4:$M$9,9,FALSE)</f>
        <v>4</v>
      </c>
      <c r="L99">
        <f t="shared" ref="L99:L113" si="35">VLOOKUP($C$92,$C$4:$M$9,10,FALSE)</f>
        <v>1</v>
      </c>
      <c r="M99">
        <v>0</v>
      </c>
      <c r="N99" s="35">
        <f>ROUND(GetValue($C99,$C$90,$K$91,$L$91,$M$91),-1)</f>
        <v>0</v>
      </c>
      <c r="O99" s="10">
        <f>ROUND(GetValue($C99,$C$90,$K$92,$L$92,$M$92),-1)</f>
        <v>90</v>
      </c>
      <c r="P99" s="10">
        <f>ROUND(GetValue($C99,$C$90,$K$93,$L$93,$M$93),-1)</f>
        <v>60</v>
      </c>
      <c r="Q99" s="10">
        <f>ROUND(GetValue($C99,$C$90,$K$94,$L$94,$M$94),-1)</f>
        <v>0</v>
      </c>
      <c r="R99" s="10">
        <f>ROUND(GetValue($C99,$C$90,$K$95,$L$95,$M$95),-1)</f>
        <v>0</v>
      </c>
      <c r="S99" s="36">
        <v>25</v>
      </c>
      <c r="T99" s="37">
        <v>0</v>
      </c>
      <c r="U99" t="s">
        <v>146</v>
      </c>
      <c r="V99" t="s">
        <v>147</v>
      </c>
      <c r="W99" s="37" t="s">
        <v>257</v>
      </c>
      <c r="X99" t="s">
        <v>149</v>
      </c>
      <c r="Y99">
        <v>0</v>
      </c>
    </row>
    <row r="100" spans="1:25" x14ac:dyDescent="0.25">
      <c r="A100" t="s">
        <v>153</v>
      </c>
      <c r="B100">
        <v>2107</v>
      </c>
      <c r="C100">
        <v>2</v>
      </c>
      <c r="D100" t="s">
        <v>144</v>
      </c>
      <c r="E100" t="s">
        <v>154</v>
      </c>
      <c r="F100" s="16">
        <f t="shared" ref="F100:F113" si="36">VLOOKUP($C$66,$C$4:$M$9,4,FALSE)*(LOOKUP($C$65,$B$13:$B$28,$C$13:$C$28)+LOOKUP($C100,$B$13:$B$28,$D$13:$D$28))</f>
        <v>920</v>
      </c>
      <c r="G100" s="17">
        <f t="shared" si="32"/>
        <v>13.799999999999999</v>
      </c>
      <c r="H100" s="15">
        <f t="shared" si="33"/>
        <v>1</v>
      </c>
      <c r="I100" s="24">
        <f t="shared" ref="I100:I113" si="37">VLOOKUP($C$66,$C$4:$M$9,7,FALSE)*(LOOKUP($C$40,$B$13:$B$28,$C$13:$C$28)+LOOKUP($C100,$B$13:$B$28,$D$13:$D$28))</f>
        <v>9.2000000000000011</v>
      </c>
      <c r="J100">
        <v>0</v>
      </c>
      <c r="K100" s="37">
        <f t="shared" si="34"/>
        <v>4</v>
      </c>
      <c r="L100" s="37">
        <f t="shared" si="35"/>
        <v>1</v>
      </c>
      <c r="M100">
        <v>0</v>
      </c>
      <c r="N100" s="35">
        <f t="shared" ref="N100:N113" si="38">ROUND(GetValue($C100,$C$90,$K$91,$L$91,$M$91),-1)</f>
        <v>0</v>
      </c>
      <c r="O100" s="10">
        <f t="shared" ref="O100:O113" si="39">ROUND(GetValue($C100,$C$90,$K$92,$L$92,$M$92),-1)</f>
        <v>190</v>
      </c>
      <c r="P100" s="10">
        <f t="shared" ref="P100:P113" si="40">ROUND(GetValue($C100,$C$90,$K$93,$L$93,$M$93),-1)</f>
        <v>110</v>
      </c>
      <c r="Q100" s="10">
        <f t="shared" ref="Q100:Q113" si="41">ROUND(GetValue($C100,$C$90,$K$94,$L$94,$M$94),-1)</f>
        <v>0</v>
      </c>
      <c r="R100" s="10">
        <f t="shared" ref="R100:R113" si="42">ROUND(GetValue($C100,$C$90,$K$95,$L$95,$M$95),-1)</f>
        <v>0</v>
      </c>
      <c r="S100" s="36">
        <v>295</v>
      </c>
      <c r="T100" s="37">
        <v>0</v>
      </c>
      <c r="U100" t="s">
        <v>146</v>
      </c>
      <c r="V100" t="s">
        <v>147</v>
      </c>
      <c r="W100" s="37" t="s">
        <v>257</v>
      </c>
      <c r="X100" t="s">
        <v>149</v>
      </c>
      <c r="Y100">
        <v>0</v>
      </c>
    </row>
    <row r="101" spans="1:25" x14ac:dyDescent="0.25">
      <c r="A101" t="s">
        <v>153</v>
      </c>
      <c r="B101">
        <v>2107</v>
      </c>
      <c r="C101">
        <v>3</v>
      </c>
      <c r="D101" t="s">
        <v>144</v>
      </c>
      <c r="E101" t="s">
        <v>154</v>
      </c>
      <c r="F101" s="16">
        <f t="shared" si="36"/>
        <v>1120</v>
      </c>
      <c r="G101" s="17">
        <f t="shared" si="32"/>
        <v>16.8</v>
      </c>
      <c r="H101" s="15">
        <f t="shared" si="33"/>
        <v>1</v>
      </c>
      <c r="I101" s="24">
        <f t="shared" si="37"/>
        <v>11.200000000000001</v>
      </c>
      <c r="J101">
        <v>0</v>
      </c>
      <c r="K101" s="37">
        <f t="shared" si="34"/>
        <v>4</v>
      </c>
      <c r="L101" s="37">
        <f t="shared" si="35"/>
        <v>1</v>
      </c>
      <c r="M101">
        <v>0</v>
      </c>
      <c r="N101" s="35">
        <f t="shared" si="38"/>
        <v>0</v>
      </c>
      <c r="O101" s="10">
        <f t="shared" si="39"/>
        <v>330</v>
      </c>
      <c r="P101" s="10">
        <f t="shared" si="40"/>
        <v>190</v>
      </c>
      <c r="Q101" s="10">
        <f t="shared" si="41"/>
        <v>0</v>
      </c>
      <c r="R101" s="10">
        <f t="shared" si="42"/>
        <v>0</v>
      </c>
      <c r="S101" s="36">
        <v>1200</v>
      </c>
      <c r="T101" s="37">
        <v>0</v>
      </c>
      <c r="U101" t="s">
        <v>146</v>
      </c>
      <c r="V101" t="s">
        <v>147</v>
      </c>
      <c r="W101" s="37" t="s">
        <v>257</v>
      </c>
      <c r="X101" t="s">
        <v>149</v>
      </c>
      <c r="Y101">
        <v>0</v>
      </c>
    </row>
    <row r="102" spans="1:25" x14ac:dyDescent="0.25">
      <c r="A102" t="s">
        <v>153</v>
      </c>
      <c r="B102">
        <v>2107</v>
      </c>
      <c r="C102">
        <v>4</v>
      </c>
      <c r="D102" t="s">
        <v>144</v>
      </c>
      <c r="E102" t="s">
        <v>154</v>
      </c>
      <c r="F102" s="16">
        <f t="shared" si="36"/>
        <v>1360</v>
      </c>
      <c r="G102" s="17">
        <f t="shared" si="32"/>
        <v>20.399999999999999</v>
      </c>
      <c r="H102" s="15">
        <f t="shared" si="33"/>
        <v>1</v>
      </c>
      <c r="I102" s="24">
        <f t="shared" si="37"/>
        <v>13.600000000000001</v>
      </c>
      <c r="J102">
        <v>0</v>
      </c>
      <c r="K102" s="37">
        <f t="shared" si="34"/>
        <v>4</v>
      </c>
      <c r="L102" s="37">
        <f t="shared" si="35"/>
        <v>1</v>
      </c>
      <c r="M102">
        <v>0</v>
      </c>
      <c r="N102" s="35">
        <f t="shared" si="38"/>
        <v>0</v>
      </c>
      <c r="O102" s="10">
        <f t="shared" si="39"/>
        <v>500</v>
      </c>
      <c r="P102" s="10">
        <f t="shared" si="40"/>
        <v>290</v>
      </c>
      <c r="Q102" s="10">
        <f t="shared" si="41"/>
        <v>0</v>
      </c>
      <c r="R102" s="10">
        <f t="shared" si="42"/>
        <v>0</v>
      </c>
      <c r="S102" s="36">
        <f t="shared" ref="S102:S113" si="43">ROUND(GetValue($C102,$C$90,$K$96,$L$96,$M$96),-1)</f>
        <v>3410</v>
      </c>
      <c r="T102" s="37">
        <v>0</v>
      </c>
      <c r="U102" t="s">
        <v>146</v>
      </c>
      <c r="V102" t="s">
        <v>147</v>
      </c>
      <c r="W102" s="37" t="s">
        <v>257</v>
      </c>
      <c r="X102" t="s">
        <v>149</v>
      </c>
      <c r="Y102">
        <v>0</v>
      </c>
    </row>
    <row r="103" spans="1:25" x14ac:dyDescent="0.25">
      <c r="A103" t="s">
        <v>153</v>
      </c>
      <c r="B103">
        <v>2107</v>
      </c>
      <c r="C103">
        <v>5</v>
      </c>
      <c r="D103" t="s">
        <v>144</v>
      </c>
      <c r="E103" t="s">
        <v>154</v>
      </c>
      <c r="F103" s="16">
        <f t="shared" si="36"/>
        <v>1560</v>
      </c>
      <c r="G103" s="17">
        <f t="shared" si="32"/>
        <v>23.4</v>
      </c>
      <c r="H103" s="15">
        <f t="shared" si="33"/>
        <v>1</v>
      </c>
      <c r="I103" s="24">
        <f t="shared" si="37"/>
        <v>15.600000000000001</v>
      </c>
      <c r="J103">
        <v>0</v>
      </c>
      <c r="K103" s="37">
        <f t="shared" si="34"/>
        <v>4</v>
      </c>
      <c r="L103" s="37">
        <f t="shared" si="35"/>
        <v>1</v>
      </c>
      <c r="M103">
        <v>0</v>
      </c>
      <c r="N103" s="35">
        <f t="shared" si="38"/>
        <v>0</v>
      </c>
      <c r="O103" s="10">
        <f t="shared" si="39"/>
        <v>720</v>
      </c>
      <c r="P103" s="10">
        <f t="shared" si="40"/>
        <v>430</v>
      </c>
      <c r="Q103" s="10">
        <f t="shared" si="41"/>
        <v>0</v>
      </c>
      <c r="R103" s="10">
        <f t="shared" si="42"/>
        <v>0</v>
      </c>
      <c r="S103" s="36">
        <f t="shared" si="43"/>
        <v>5180</v>
      </c>
      <c r="T103" s="37">
        <v>0</v>
      </c>
      <c r="U103" t="s">
        <v>146</v>
      </c>
      <c r="V103" t="s">
        <v>147</v>
      </c>
      <c r="W103" s="37" t="s">
        <v>257</v>
      </c>
      <c r="X103" t="s">
        <v>149</v>
      </c>
      <c r="Y103">
        <v>0</v>
      </c>
    </row>
    <row r="104" spans="1:25" x14ac:dyDescent="0.25">
      <c r="A104" t="s">
        <v>153</v>
      </c>
      <c r="B104">
        <v>2107</v>
      </c>
      <c r="C104">
        <v>6</v>
      </c>
      <c r="D104" t="s">
        <v>144</v>
      </c>
      <c r="E104" t="s">
        <v>154</v>
      </c>
      <c r="F104" s="16">
        <f t="shared" si="36"/>
        <v>1800</v>
      </c>
      <c r="G104" s="17">
        <f t="shared" si="32"/>
        <v>27</v>
      </c>
      <c r="H104" s="15">
        <f t="shared" si="33"/>
        <v>1</v>
      </c>
      <c r="I104" s="24">
        <f t="shared" si="37"/>
        <v>18</v>
      </c>
      <c r="J104">
        <v>0</v>
      </c>
      <c r="K104" s="37">
        <f t="shared" si="34"/>
        <v>4</v>
      </c>
      <c r="L104" s="37">
        <f t="shared" si="35"/>
        <v>1</v>
      </c>
      <c r="M104">
        <v>0</v>
      </c>
      <c r="N104" s="35">
        <f t="shared" si="38"/>
        <v>0</v>
      </c>
      <c r="O104" s="10">
        <f t="shared" si="39"/>
        <v>1000</v>
      </c>
      <c r="P104" s="10">
        <f t="shared" si="40"/>
        <v>600</v>
      </c>
      <c r="Q104" s="10">
        <f t="shared" si="41"/>
        <v>0</v>
      </c>
      <c r="R104" s="10">
        <f t="shared" si="42"/>
        <v>0</v>
      </c>
      <c r="S104" s="36">
        <f t="shared" si="43"/>
        <v>7520</v>
      </c>
      <c r="T104" s="37">
        <v>0</v>
      </c>
      <c r="U104" t="s">
        <v>146</v>
      </c>
      <c r="V104" t="s">
        <v>147</v>
      </c>
      <c r="W104" s="37" t="s">
        <v>257</v>
      </c>
      <c r="X104" t="s">
        <v>149</v>
      </c>
      <c r="Y104">
        <v>0</v>
      </c>
    </row>
    <row r="105" spans="1:25" x14ac:dyDescent="0.25">
      <c r="A105" t="s">
        <v>153</v>
      </c>
      <c r="B105">
        <v>2107</v>
      </c>
      <c r="C105">
        <v>7</v>
      </c>
      <c r="D105" t="s">
        <v>144</v>
      </c>
      <c r="E105" t="s">
        <v>154</v>
      </c>
      <c r="F105" s="16">
        <f t="shared" si="36"/>
        <v>2080</v>
      </c>
      <c r="G105" s="17">
        <f t="shared" si="32"/>
        <v>31.2</v>
      </c>
      <c r="H105" s="15">
        <f t="shared" si="33"/>
        <v>1</v>
      </c>
      <c r="I105" s="24">
        <f t="shared" si="37"/>
        <v>20.8</v>
      </c>
      <c r="J105">
        <v>0</v>
      </c>
      <c r="K105" s="37">
        <f t="shared" si="34"/>
        <v>4</v>
      </c>
      <c r="L105" s="37">
        <f t="shared" si="35"/>
        <v>1</v>
      </c>
      <c r="M105">
        <v>0</v>
      </c>
      <c r="N105" s="35">
        <f t="shared" si="38"/>
        <v>0</v>
      </c>
      <c r="O105" s="10">
        <f t="shared" si="39"/>
        <v>1360</v>
      </c>
      <c r="P105" s="10">
        <f t="shared" si="40"/>
        <v>840</v>
      </c>
      <c r="Q105" s="10">
        <f t="shared" si="41"/>
        <v>0</v>
      </c>
      <c r="R105" s="10">
        <f t="shared" si="42"/>
        <v>0</v>
      </c>
      <c r="S105" s="36">
        <f t="shared" si="43"/>
        <v>10620</v>
      </c>
      <c r="T105" s="37">
        <v>0</v>
      </c>
      <c r="U105" t="s">
        <v>146</v>
      </c>
      <c r="V105" t="s">
        <v>147</v>
      </c>
      <c r="W105" s="37" t="s">
        <v>257</v>
      </c>
      <c r="X105" t="s">
        <v>149</v>
      </c>
      <c r="Y105">
        <v>0</v>
      </c>
    </row>
    <row r="106" spans="1:25" x14ac:dyDescent="0.25">
      <c r="A106" t="s">
        <v>153</v>
      </c>
      <c r="B106">
        <v>2107</v>
      </c>
      <c r="C106">
        <v>8</v>
      </c>
      <c r="D106" t="s">
        <v>144</v>
      </c>
      <c r="E106" t="s">
        <v>154</v>
      </c>
      <c r="F106" s="16">
        <f t="shared" si="36"/>
        <v>2360</v>
      </c>
      <c r="G106" s="17">
        <f t="shared" si="32"/>
        <v>35.4</v>
      </c>
      <c r="H106" s="15">
        <f t="shared" si="33"/>
        <v>1</v>
      </c>
      <c r="I106" s="24">
        <f t="shared" si="37"/>
        <v>23.6</v>
      </c>
      <c r="J106">
        <v>0</v>
      </c>
      <c r="K106" s="37">
        <f t="shared" si="34"/>
        <v>4</v>
      </c>
      <c r="L106" s="37">
        <f t="shared" si="35"/>
        <v>1</v>
      </c>
      <c r="M106">
        <v>0</v>
      </c>
      <c r="N106" s="35">
        <f t="shared" si="38"/>
        <v>190</v>
      </c>
      <c r="O106" s="10">
        <f t="shared" si="39"/>
        <v>1830</v>
      </c>
      <c r="P106" s="10">
        <f t="shared" si="40"/>
        <v>1150</v>
      </c>
      <c r="Q106" s="10">
        <f t="shared" si="41"/>
        <v>0</v>
      </c>
      <c r="R106" s="10">
        <f t="shared" si="42"/>
        <v>0</v>
      </c>
      <c r="S106" s="36">
        <f t="shared" si="43"/>
        <v>14710</v>
      </c>
      <c r="T106" s="37">
        <v>0</v>
      </c>
      <c r="U106" t="s">
        <v>146</v>
      </c>
      <c r="V106" t="s">
        <v>147</v>
      </c>
      <c r="W106" s="37" t="s">
        <v>257</v>
      </c>
      <c r="X106" t="s">
        <v>149</v>
      </c>
      <c r="Y106">
        <v>0</v>
      </c>
    </row>
    <row r="107" spans="1:25" x14ac:dyDescent="0.25">
      <c r="A107" t="s">
        <v>153</v>
      </c>
      <c r="B107">
        <v>2107</v>
      </c>
      <c r="C107">
        <v>9</v>
      </c>
      <c r="D107" t="s">
        <v>144</v>
      </c>
      <c r="E107" t="s">
        <v>154</v>
      </c>
      <c r="F107" s="16">
        <f t="shared" si="36"/>
        <v>2680</v>
      </c>
      <c r="G107" s="17">
        <f t="shared" si="32"/>
        <v>40.199999999999996</v>
      </c>
      <c r="H107" s="15">
        <f t="shared" si="33"/>
        <v>1</v>
      </c>
      <c r="I107" s="24">
        <f t="shared" si="37"/>
        <v>26.8</v>
      </c>
      <c r="J107">
        <v>0</v>
      </c>
      <c r="K107" s="37">
        <f t="shared" si="34"/>
        <v>4</v>
      </c>
      <c r="L107" s="37">
        <f t="shared" si="35"/>
        <v>1</v>
      </c>
      <c r="M107">
        <v>0</v>
      </c>
      <c r="N107" s="35">
        <f t="shared" si="38"/>
        <v>420</v>
      </c>
      <c r="O107" s="10">
        <f t="shared" si="39"/>
        <v>2420</v>
      </c>
      <c r="P107" s="10">
        <f t="shared" si="40"/>
        <v>1560</v>
      </c>
      <c r="Q107" s="10">
        <f t="shared" si="41"/>
        <v>0</v>
      </c>
      <c r="R107" s="10">
        <f t="shared" si="42"/>
        <v>0</v>
      </c>
      <c r="S107" s="36">
        <f t="shared" si="43"/>
        <v>20130</v>
      </c>
      <c r="T107" s="37">
        <v>0</v>
      </c>
      <c r="U107" t="s">
        <v>146</v>
      </c>
      <c r="V107" t="s">
        <v>147</v>
      </c>
      <c r="W107" s="37" t="s">
        <v>257</v>
      </c>
      <c r="X107" t="s">
        <v>149</v>
      </c>
      <c r="Y107">
        <v>0</v>
      </c>
    </row>
    <row r="108" spans="1:25" x14ac:dyDescent="0.25">
      <c r="A108" t="s">
        <v>153</v>
      </c>
      <c r="B108">
        <v>2107</v>
      </c>
      <c r="C108">
        <v>10</v>
      </c>
      <c r="D108" t="s">
        <v>144</v>
      </c>
      <c r="E108" t="s">
        <v>154</v>
      </c>
      <c r="F108" s="16">
        <f t="shared" si="36"/>
        <v>3040</v>
      </c>
      <c r="G108" s="17">
        <f t="shared" si="32"/>
        <v>45.6</v>
      </c>
      <c r="H108" s="15">
        <f t="shared" si="33"/>
        <v>1</v>
      </c>
      <c r="I108" s="24">
        <f t="shared" si="37"/>
        <v>30.400000000000002</v>
      </c>
      <c r="J108">
        <v>0</v>
      </c>
      <c r="K108" s="37">
        <f t="shared" si="34"/>
        <v>4</v>
      </c>
      <c r="L108" s="37">
        <f t="shared" si="35"/>
        <v>1</v>
      </c>
      <c r="M108">
        <v>0</v>
      </c>
      <c r="N108" s="35">
        <f t="shared" si="38"/>
        <v>680</v>
      </c>
      <c r="O108" s="10">
        <f t="shared" si="39"/>
        <v>3190</v>
      </c>
      <c r="P108" s="10">
        <f t="shared" si="40"/>
        <v>2110</v>
      </c>
      <c r="Q108" s="10">
        <f t="shared" si="41"/>
        <v>130</v>
      </c>
      <c r="R108" s="10">
        <f t="shared" si="42"/>
        <v>0</v>
      </c>
      <c r="S108" s="36">
        <f t="shared" si="43"/>
        <v>27310</v>
      </c>
      <c r="T108" s="37">
        <v>0</v>
      </c>
      <c r="U108" t="s">
        <v>146</v>
      </c>
      <c r="V108" t="s">
        <v>147</v>
      </c>
      <c r="W108" s="37" t="s">
        <v>257</v>
      </c>
      <c r="X108" t="s">
        <v>149</v>
      </c>
      <c r="Y108">
        <v>0</v>
      </c>
    </row>
    <row r="109" spans="1:25" x14ac:dyDescent="0.25">
      <c r="A109" t="s">
        <v>153</v>
      </c>
      <c r="B109">
        <v>2107</v>
      </c>
      <c r="C109">
        <v>11</v>
      </c>
      <c r="D109" t="s">
        <v>144</v>
      </c>
      <c r="E109" t="s">
        <v>154</v>
      </c>
      <c r="F109" s="16">
        <f t="shared" si="36"/>
        <v>3400</v>
      </c>
      <c r="G109" s="17">
        <f t="shared" si="32"/>
        <v>51</v>
      </c>
      <c r="H109" s="15">
        <f t="shared" si="33"/>
        <v>1</v>
      </c>
      <c r="I109" s="24">
        <f t="shared" si="37"/>
        <v>34</v>
      </c>
      <c r="J109">
        <v>0</v>
      </c>
      <c r="K109" s="37">
        <f t="shared" si="34"/>
        <v>4</v>
      </c>
      <c r="L109" s="37">
        <f t="shared" si="35"/>
        <v>1</v>
      </c>
      <c r="M109">
        <v>0</v>
      </c>
      <c r="N109" s="35">
        <f t="shared" si="38"/>
        <v>990</v>
      </c>
      <c r="O109" s="10">
        <f t="shared" si="39"/>
        <v>4170</v>
      </c>
      <c r="P109" s="10">
        <f t="shared" si="40"/>
        <v>2830</v>
      </c>
      <c r="Q109" s="10">
        <f t="shared" si="41"/>
        <v>280</v>
      </c>
      <c r="R109" s="10">
        <f t="shared" si="42"/>
        <v>0</v>
      </c>
      <c r="S109" s="36">
        <f t="shared" si="43"/>
        <v>36800</v>
      </c>
      <c r="T109" s="37">
        <v>0</v>
      </c>
      <c r="U109" t="s">
        <v>146</v>
      </c>
      <c r="V109" t="s">
        <v>147</v>
      </c>
      <c r="W109" s="37" t="s">
        <v>257</v>
      </c>
      <c r="X109" t="s">
        <v>149</v>
      </c>
      <c r="Y109">
        <v>0</v>
      </c>
    </row>
    <row r="110" spans="1:25" x14ac:dyDescent="0.25">
      <c r="A110" t="s">
        <v>153</v>
      </c>
      <c r="B110">
        <v>2107</v>
      </c>
      <c r="C110">
        <v>12</v>
      </c>
      <c r="D110" t="s">
        <v>144</v>
      </c>
      <c r="E110" t="s">
        <v>154</v>
      </c>
      <c r="F110" s="16">
        <f t="shared" si="36"/>
        <v>3800</v>
      </c>
      <c r="G110" s="17">
        <f t="shared" si="32"/>
        <v>57</v>
      </c>
      <c r="H110" s="15">
        <f t="shared" si="33"/>
        <v>1</v>
      </c>
      <c r="I110" s="24">
        <f t="shared" si="37"/>
        <v>38</v>
      </c>
      <c r="J110">
        <v>0</v>
      </c>
      <c r="K110" s="37">
        <f t="shared" si="34"/>
        <v>4</v>
      </c>
      <c r="L110" s="37">
        <f t="shared" si="35"/>
        <v>1</v>
      </c>
      <c r="M110">
        <v>0</v>
      </c>
      <c r="N110" s="35">
        <f t="shared" si="38"/>
        <v>1350</v>
      </c>
      <c r="O110" s="10">
        <f t="shared" si="39"/>
        <v>5440</v>
      </c>
      <c r="P110" s="10">
        <f t="shared" si="40"/>
        <v>3780</v>
      </c>
      <c r="Q110" s="10">
        <f t="shared" si="41"/>
        <v>460</v>
      </c>
      <c r="R110" s="10">
        <f t="shared" si="42"/>
        <v>0</v>
      </c>
      <c r="S110" s="36">
        <f t="shared" si="43"/>
        <v>49350</v>
      </c>
      <c r="T110" s="37">
        <v>0</v>
      </c>
      <c r="U110" t="s">
        <v>146</v>
      </c>
      <c r="V110" t="s">
        <v>147</v>
      </c>
      <c r="W110" s="37" t="s">
        <v>257</v>
      </c>
      <c r="X110" t="s">
        <v>149</v>
      </c>
      <c r="Y110">
        <v>0</v>
      </c>
    </row>
    <row r="111" spans="1:25" x14ac:dyDescent="0.25">
      <c r="A111" t="s">
        <v>153</v>
      </c>
      <c r="B111">
        <v>2107</v>
      </c>
      <c r="C111">
        <v>13</v>
      </c>
      <c r="D111" t="s">
        <v>144</v>
      </c>
      <c r="E111" t="s">
        <v>154</v>
      </c>
      <c r="F111" s="16">
        <f t="shared" si="36"/>
        <v>4240</v>
      </c>
      <c r="G111" s="17">
        <f t="shared" si="32"/>
        <v>63.599999999999994</v>
      </c>
      <c r="H111" s="15">
        <f t="shared" si="33"/>
        <v>1</v>
      </c>
      <c r="I111" s="24">
        <f t="shared" si="37"/>
        <v>42.400000000000006</v>
      </c>
      <c r="J111">
        <v>0</v>
      </c>
      <c r="K111" s="37">
        <f t="shared" si="34"/>
        <v>4</v>
      </c>
      <c r="L111" s="37">
        <f t="shared" si="35"/>
        <v>1</v>
      </c>
      <c r="M111">
        <v>0</v>
      </c>
      <c r="N111" s="35">
        <f t="shared" si="38"/>
        <v>1760</v>
      </c>
      <c r="O111" s="10">
        <f t="shared" si="39"/>
        <v>7060</v>
      </c>
      <c r="P111" s="10">
        <f t="shared" si="40"/>
        <v>5050</v>
      </c>
      <c r="Q111" s="10">
        <f t="shared" si="41"/>
        <v>670</v>
      </c>
      <c r="R111" s="10">
        <f t="shared" si="42"/>
        <v>0</v>
      </c>
      <c r="S111" s="36">
        <f t="shared" si="43"/>
        <v>65970</v>
      </c>
      <c r="T111" s="37">
        <v>0</v>
      </c>
      <c r="U111" t="s">
        <v>146</v>
      </c>
      <c r="V111" t="s">
        <v>147</v>
      </c>
      <c r="W111" s="37" t="s">
        <v>257</v>
      </c>
      <c r="X111" t="s">
        <v>149</v>
      </c>
      <c r="Y111">
        <v>0</v>
      </c>
    </row>
    <row r="112" spans="1:25" x14ac:dyDescent="0.25">
      <c r="A112" t="s">
        <v>153</v>
      </c>
      <c r="B112">
        <v>2107</v>
      </c>
      <c r="C112">
        <v>14</v>
      </c>
      <c r="D112" t="s">
        <v>144</v>
      </c>
      <c r="E112" t="s">
        <v>154</v>
      </c>
      <c r="F112" s="16">
        <f t="shared" si="36"/>
        <v>4680</v>
      </c>
      <c r="G112" s="17">
        <f t="shared" si="32"/>
        <v>70.2</v>
      </c>
      <c r="H112" s="15">
        <f t="shared" si="33"/>
        <v>1</v>
      </c>
      <c r="I112" s="24">
        <f t="shared" si="37"/>
        <v>46.800000000000004</v>
      </c>
      <c r="J112">
        <v>0</v>
      </c>
      <c r="K112" s="37">
        <f t="shared" si="34"/>
        <v>4</v>
      </c>
      <c r="L112" s="37">
        <f t="shared" si="35"/>
        <v>1</v>
      </c>
      <c r="M112">
        <v>0</v>
      </c>
      <c r="N112" s="35">
        <f t="shared" si="38"/>
        <v>2240</v>
      </c>
      <c r="O112" s="10">
        <f t="shared" si="39"/>
        <v>9140</v>
      </c>
      <c r="P112" s="10">
        <f t="shared" si="40"/>
        <v>6720</v>
      </c>
      <c r="Q112" s="10">
        <f t="shared" si="41"/>
        <v>910</v>
      </c>
      <c r="R112" s="10">
        <f t="shared" si="42"/>
        <v>0</v>
      </c>
      <c r="S112" s="36">
        <f t="shared" si="43"/>
        <v>87950</v>
      </c>
      <c r="T112" s="37">
        <v>0</v>
      </c>
      <c r="U112" t="s">
        <v>146</v>
      </c>
      <c r="V112" t="s">
        <v>147</v>
      </c>
      <c r="W112" s="37" t="s">
        <v>257</v>
      </c>
      <c r="X112" t="s">
        <v>149</v>
      </c>
      <c r="Y112">
        <v>0</v>
      </c>
    </row>
    <row r="113" spans="1:25" x14ac:dyDescent="0.25">
      <c r="A113" t="s">
        <v>153</v>
      </c>
      <c r="B113">
        <v>2107</v>
      </c>
      <c r="C113">
        <v>15</v>
      </c>
      <c r="D113" t="s">
        <v>144</v>
      </c>
      <c r="E113" t="s">
        <v>154</v>
      </c>
      <c r="F113" s="16">
        <f t="shared" si="36"/>
        <v>5200</v>
      </c>
      <c r="G113" s="17">
        <f t="shared" si="32"/>
        <v>78</v>
      </c>
      <c r="H113" s="15">
        <f t="shared" si="33"/>
        <v>1</v>
      </c>
      <c r="I113" s="24">
        <f t="shared" si="37"/>
        <v>52</v>
      </c>
      <c r="J113">
        <v>0</v>
      </c>
      <c r="K113" s="37">
        <f t="shared" si="34"/>
        <v>4</v>
      </c>
      <c r="L113" s="37">
        <f t="shared" si="35"/>
        <v>1</v>
      </c>
      <c r="M113">
        <v>0</v>
      </c>
      <c r="N113" s="35">
        <f t="shared" si="38"/>
        <v>2800</v>
      </c>
      <c r="O113" s="10">
        <f t="shared" si="39"/>
        <v>11810</v>
      </c>
      <c r="P113" s="10">
        <f t="shared" si="40"/>
        <v>8930</v>
      </c>
      <c r="Q113" s="10">
        <f t="shared" si="41"/>
        <v>1190</v>
      </c>
      <c r="R113" s="10">
        <f t="shared" si="42"/>
        <v>0</v>
      </c>
      <c r="S113" s="36">
        <f t="shared" si="43"/>
        <v>117040</v>
      </c>
      <c r="T113" s="37">
        <v>0</v>
      </c>
      <c r="U113" t="s">
        <v>146</v>
      </c>
      <c r="V113" t="s">
        <v>147</v>
      </c>
      <c r="W113" s="37" t="s">
        <v>257</v>
      </c>
      <c r="X113" t="s">
        <v>149</v>
      </c>
      <c r="Y113">
        <v>0</v>
      </c>
    </row>
    <row r="114" spans="1:25" x14ac:dyDescent="0.25">
      <c r="G114" s="15"/>
      <c r="H114" s="15"/>
    </row>
    <row r="115" spans="1:25" x14ac:dyDescent="0.25">
      <c r="A115" t="s">
        <v>155</v>
      </c>
      <c r="B115">
        <v>2108</v>
      </c>
      <c r="C115">
        <v>0</v>
      </c>
      <c r="D115" t="s">
        <v>144</v>
      </c>
      <c r="E115" t="s">
        <v>145</v>
      </c>
      <c r="F115" s="16">
        <v>500</v>
      </c>
      <c r="G115" s="15">
        <v>0</v>
      </c>
      <c r="H115" s="15">
        <v>0</v>
      </c>
      <c r="I115" s="24">
        <v>0</v>
      </c>
      <c r="J115">
        <v>0</v>
      </c>
      <c r="K115">
        <v>0</v>
      </c>
      <c r="L115">
        <v>0</v>
      </c>
      <c r="M115">
        <v>0</v>
      </c>
      <c r="N115" s="16">
        <v>0</v>
      </c>
      <c r="O115">
        <v>0</v>
      </c>
      <c r="P115">
        <v>0</v>
      </c>
      <c r="Q115">
        <v>0</v>
      </c>
      <c r="R115">
        <v>0</v>
      </c>
      <c r="S115" s="21">
        <v>0</v>
      </c>
      <c r="T115">
        <v>0</v>
      </c>
      <c r="U115" t="s">
        <v>146</v>
      </c>
      <c r="V115" t="s">
        <v>147</v>
      </c>
      <c r="W115" s="37" t="s">
        <v>257</v>
      </c>
      <c r="X115" t="s">
        <v>149</v>
      </c>
      <c r="Y115">
        <v>0</v>
      </c>
    </row>
    <row r="116" spans="1:25" x14ac:dyDescent="0.25">
      <c r="A116" t="s">
        <v>155</v>
      </c>
      <c r="B116">
        <v>2108</v>
      </c>
      <c r="C116">
        <v>1</v>
      </c>
      <c r="D116" t="s">
        <v>144</v>
      </c>
      <c r="E116" t="s">
        <v>156</v>
      </c>
      <c r="F116" s="16">
        <v>1000</v>
      </c>
      <c r="G116" s="15">
        <v>0</v>
      </c>
      <c r="H116" s="15">
        <v>0</v>
      </c>
      <c r="I116" s="24">
        <v>0</v>
      </c>
      <c r="J116">
        <v>0</v>
      </c>
      <c r="K116">
        <v>0</v>
      </c>
      <c r="L116">
        <v>0</v>
      </c>
      <c r="M116">
        <v>0</v>
      </c>
      <c r="N116" s="16">
        <v>0</v>
      </c>
      <c r="O116">
        <v>0</v>
      </c>
      <c r="P116">
        <v>0</v>
      </c>
      <c r="Q116">
        <v>0</v>
      </c>
      <c r="R116">
        <v>0</v>
      </c>
      <c r="S116" s="21">
        <v>300</v>
      </c>
      <c r="T116">
        <v>0</v>
      </c>
      <c r="U116" t="s">
        <v>146</v>
      </c>
      <c r="V116" t="s">
        <v>147</v>
      </c>
      <c r="W116" s="37" t="s">
        <v>257</v>
      </c>
      <c r="X116" t="s">
        <v>149</v>
      </c>
      <c r="Y116">
        <v>0</v>
      </c>
    </row>
    <row r="117" spans="1:25" x14ac:dyDescent="0.25">
      <c r="G117" s="15"/>
      <c r="H117" s="15"/>
    </row>
    <row r="118" spans="1:25" x14ac:dyDescent="0.25">
      <c r="A118" t="s">
        <v>203</v>
      </c>
      <c r="B118" s="15" t="s">
        <v>201</v>
      </c>
      <c r="C118">
        <v>10</v>
      </c>
      <c r="G118" s="15"/>
      <c r="H118" s="15"/>
      <c r="K118" s="7" t="s">
        <v>1</v>
      </c>
      <c r="L118" s="8" t="s">
        <v>2</v>
      </c>
      <c r="M118" s="8" t="s">
        <v>194</v>
      </c>
      <c r="N118" s="33" t="s">
        <v>204</v>
      </c>
      <c r="O118" s="12" t="s">
        <v>205</v>
      </c>
    </row>
    <row r="119" spans="1:25" x14ac:dyDescent="0.25">
      <c r="A119" t="s">
        <v>203</v>
      </c>
      <c r="B119" t="s">
        <v>202</v>
      </c>
      <c r="C119">
        <v>3</v>
      </c>
      <c r="G119" s="15"/>
      <c r="H119" s="15" t="s">
        <v>132</v>
      </c>
      <c r="K119">
        <v>0.05</v>
      </c>
      <c r="L119">
        <v>-2</v>
      </c>
      <c r="M119">
        <v>8000</v>
      </c>
    </row>
    <row r="120" spans="1:25" x14ac:dyDescent="0.25">
      <c r="A120" t="s">
        <v>203</v>
      </c>
      <c r="B120" t="s">
        <v>128</v>
      </c>
      <c r="C120" t="s">
        <v>120</v>
      </c>
      <c r="G120" s="15"/>
      <c r="H120" s="15" t="s">
        <v>133</v>
      </c>
      <c r="K120">
        <v>0.2</v>
      </c>
      <c r="L120">
        <v>220</v>
      </c>
      <c r="M120">
        <v>20000</v>
      </c>
    </row>
    <row r="121" spans="1:25" x14ac:dyDescent="0.25">
      <c r="A121" t="s">
        <v>203</v>
      </c>
      <c r="G121" s="15"/>
      <c r="H121" s="15" t="s">
        <v>198</v>
      </c>
      <c r="K121">
        <v>0.2</v>
      </c>
      <c r="L121">
        <v>290</v>
      </c>
      <c r="M121">
        <v>26000</v>
      </c>
    </row>
    <row r="122" spans="1:25" x14ac:dyDescent="0.25">
      <c r="A122" t="s">
        <v>203</v>
      </c>
      <c r="G122" s="15"/>
      <c r="H122" s="15" t="s">
        <v>135</v>
      </c>
      <c r="K122">
        <v>0.15</v>
      </c>
      <c r="L122">
        <v>-6</v>
      </c>
      <c r="M122">
        <v>4000</v>
      </c>
    </row>
    <row r="123" spans="1:25" x14ac:dyDescent="0.25">
      <c r="A123" t="s">
        <v>203</v>
      </c>
      <c r="G123" s="15"/>
      <c r="H123" s="15" t="s">
        <v>136</v>
      </c>
      <c r="K123" s="15">
        <v>0</v>
      </c>
      <c r="L123" s="15">
        <v>0</v>
      </c>
      <c r="M123" s="15">
        <v>0</v>
      </c>
    </row>
    <row r="124" spans="1:25" x14ac:dyDescent="0.25">
      <c r="A124" t="s">
        <v>203</v>
      </c>
      <c r="G124" s="15"/>
      <c r="H124" s="15" t="s">
        <v>69</v>
      </c>
      <c r="K124">
        <v>0.2</v>
      </c>
      <c r="L124" s="3">
        <v>4050</v>
      </c>
      <c r="M124" s="3">
        <f>66600*3</f>
        <v>199800</v>
      </c>
      <c r="N124" s="34" t="str">
        <f>TEXT(L124/86400,CHOOSE(MATCH(L124,{0,60,3600},1),":ss","m:ss","[h]:mm:ss"))</f>
        <v>1:07:30</v>
      </c>
      <c r="O124" s="11" t="str">
        <f>TEXT(M124/86400,CHOOSE(MATCH(M124,{0,60,3600},1),":ss","m:ss","[h]:mm:ss"))</f>
        <v>55:30:00</v>
      </c>
    </row>
    <row r="125" spans="1:25" x14ac:dyDescent="0.25">
      <c r="G125" s="15"/>
      <c r="H125" s="15"/>
      <c r="L125" s="3"/>
      <c r="M125" s="3"/>
    </row>
    <row r="126" spans="1:25" x14ac:dyDescent="0.25">
      <c r="A126" t="s">
        <v>157</v>
      </c>
      <c r="B126">
        <v>2110</v>
      </c>
      <c r="C126">
        <v>0</v>
      </c>
      <c r="D126" t="s">
        <v>144</v>
      </c>
      <c r="E126" t="s">
        <v>145</v>
      </c>
      <c r="F126" s="16">
        <v>500</v>
      </c>
      <c r="G126" s="15">
        <v>0</v>
      </c>
      <c r="H126" s="15">
        <v>0</v>
      </c>
      <c r="I126" s="24">
        <v>0</v>
      </c>
      <c r="J126">
        <v>0</v>
      </c>
      <c r="K126">
        <v>0</v>
      </c>
      <c r="L126">
        <v>0</v>
      </c>
      <c r="M126">
        <v>0</v>
      </c>
      <c r="N126" s="16">
        <v>0</v>
      </c>
      <c r="O126">
        <v>0</v>
      </c>
      <c r="P126">
        <v>0</v>
      </c>
      <c r="Q126">
        <v>0</v>
      </c>
      <c r="R126">
        <v>0</v>
      </c>
      <c r="S126" s="21">
        <v>0</v>
      </c>
      <c r="T126">
        <v>0</v>
      </c>
      <c r="U126" t="s">
        <v>146</v>
      </c>
      <c r="V126" t="s">
        <v>147</v>
      </c>
      <c r="W126" s="37" t="s">
        <v>257</v>
      </c>
      <c r="X126" t="s">
        <v>149</v>
      </c>
      <c r="Y126">
        <v>0</v>
      </c>
    </row>
    <row r="127" spans="1:25" x14ac:dyDescent="0.25">
      <c r="A127" t="s">
        <v>157</v>
      </c>
      <c r="B127">
        <v>2110</v>
      </c>
      <c r="C127">
        <v>1</v>
      </c>
      <c r="D127" t="s">
        <v>144</v>
      </c>
      <c r="E127" t="s">
        <v>158</v>
      </c>
      <c r="F127" s="16">
        <f t="shared" ref="F127:F136" si="44">VLOOKUP($C$120,$C$4:$M$9,4,FALSE)*(LOOKUP($C$119,$B$13:$B$28,$C$13:$C$28)+LOOKUP($C127,$B$13:$B$28,$D$13:$D$28))</f>
        <v>2240</v>
      </c>
      <c r="G127" s="17">
        <f t="shared" ref="G127:G136" si="45">VLOOKUP($C$120,$C$4:$M$9,5,FALSE)*(LOOKUP($C$119,$B$13:$B$28,$C$13:$C$28)+LOOKUP($C127,$B$13:$B$28,$D$13:$D$28))</f>
        <v>16.8</v>
      </c>
      <c r="H127" s="15">
        <f>VLOOKUP($C$120,$C$4:$M$9,6,FALSE)</f>
        <v>1</v>
      </c>
      <c r="I127" s="24">
        <f t="shared" ref="I127:I136" si="46">VLOOKUP($C$120,$C$4:$M$9,7,FALSE)*(LOOKUP($C$119,$B$13:$B$28,$C$13:$C$28)+LOOKUP($C127,$B$13:$B$28,$D$13:$D$28))</f>
        <v>11.200000000000001</v>
      </c>
      <c r="J127">
        <v>0</v>
      </c>
      <c r="K127">
        <f t="shared" ref="K127:K136" si="47">VLOOKUP($C$120,$C$4:$M$9,9,FALSE)</f>
        <v>4</v>
      </c>
      <c r="L127">
        <f t="shared" ref="L127:L136" si="48">VLOOKUP($C$120,$C$4:$M$9,10,FALSE)</f>
        <v>1</v>
      </c>
      <c r="M127">
        <v>0</v>
      </c>
      <c r="N127" s="35">
        <f>ROUND(GetValue($C127,$C$90,$K$119,$L$119,$M$119),-1)</f>
        <v>0</v>
      </c>
      <c r="O127" s="10">
        <f>ROUND(GetValue($C127,$C$90,$K$120,$L$120,$M$120),-1)</f>
        <v>220</v>
      </c>
      <c r="P127" s="10">
        <f>ROUND(GetValue($C127,$C$90,$K$121,$L$121,$M$121),-1)</f>
        <v>290</v>
      </c>
      <c r="Q127" s="10">
        <f>ROUND(GetValue($C127,$C$90,$K$122,$L$122,$M$122),-1)</f>
        <v>0</v>
      </c>
      <c r="R127" s="10">
        <f>ROUND(GetValue($C127,$C$90,$K$123,$L$123,$M$123),-1)</f>
        <v>0</v>
      </c>
      <c r="S127" s="36">
        <f>ROUND(GetValue($C127,$C$90,$K$124,$L$124,$M$124),-1)</f>
        <v>4050</v>
      </c>
      <c r="T127" s="37">
        <v>0</v>
      </c>
      <c r="U127" t="s">
        <v>146</v>
      </c>
      <c r="V127" t="s">
        <v>147</v>
      </c>
      <c r="W127" s="37" t="s">
        <v>257</v>
      </c>
      <c r="X127" t="s">
        <v>149</v>
      </c>
      <c r="Y127" s="3">
        <v>10</v>
      </c>
    </row>
    <row r="128" spans="1:25" x14ac:dyDescent="0.25">
      <c r="A128" t="s">
        <v>157</v>
      </c>
      <c r="B128">
        <v>2110</v>
      </c>
      <c r="C128">
        <v>2</v>
      </c>
      <c r="D128" t="s">
        <v>144</v>
      </c>
      <c r="E128" t="s">
        <v>158</v>
      </c>
      <c r="F128" s="16">
        <f t="shared" si="44"/>
        <v>2480</v>
      </c>
      <c r="G128" s="17">
        <f t="shared" si="45"/>
        <v>18.599999999999998</v>
      </c>
      <c r="H128" s="15">
        <f>H127</f>
        <v>1</v>
      </c>
      <c r="I128" s="24">
        <f t="shared" si="46"/>
        <v>12.4</v>
      </c>
      <c r="J128">
        <v>0</v>
      </c>
      <c r="K128" s="37">
        <f t="shared" si="47"/>
        <v>4</v>
      </c>
      <c r="L128" s="37">
        <f t="shared" si="48"/>
        <v>1</v>
      </c>
      <c r="M128">
        <v>0</v>
      </c>
      <c r="N128" s="35">
        <f t="shared" ref="N128:N136" si="49">ROUND(GetValue($C128,$C$90,$K$119,$L$119,$M$119),-1)</f>
        <v>0</v>
      </c>
      <c r="O128" s="10">
        <f t="shared" ref="O128:O136" si="50">ROUND(GetValue($C128,$C$90,$K$120,$L$120,$M$120),-1)</f>
        <v>490</v>
      </c>
      <c r="P128" s="10">
        <f t="shared" ref="P128:P136" si="51">ROUND(GetValue($C128,$C$90,$K$121,$L$121,$M$121),-1)</f>
        <v>640</v>
      </c>
      <c r="Q128" s="10">
        <f t="shared" ref="Q128:Q136" si="52">ROUND(GetValue($C128,$C$90,$K$122,$L$122,$M$122),-1)</f>
        <v>0</v>
      </c>
      <c r="R128" s="10">
        <f t="shared" ref="R128:R136" si="53">ROUND(GetValue($C128,$C$90,$K$123,$L$123,$M$123),-1)</f>
        <v>0</v>
      </c>
      <c r="S128" s="36">
        <f t="shared" ref="S128:S136" si="54">ROUND(GetValue($C128,$C$90,$K$124,$L$124,$M$124),-1)</f>
        <v>6790</v>
      </c>
      <c r="T128" s="37">
        <v>0</v>
      </c>
      <c r="U128" t="s">
        <v>146</v>
      </c>
      <c r="V128" t="s">
        <v>147</v>
      </c>
      <c r="W128" s="37" t="s">
        <v>257</v>
      </c>
      <c r="X128" t="s">
        <v>149</v>
      </c>
      <c r="Y128" s="3">
        <v>17</v>
      </c>
    </row>
    <row r="129" spans="1:25" x14ac:dyDescent="0.25">
      <c r="A129" t="s">
        <v>157</v>
      </c>
      <c r="B129">
        <v>2110</v>
      </c>
      <c r="C129">
        <v>3</v>
      </c>
      <c r="D129" t="s">
        <v>144</v>
      </c>
      <c r="E129" t="s">
        <v>158</v>
      </c>
      <c r="F129" s="16">
        <f t="shared" si="44"/>
        <v>2880</v>
      </c>
      <c r="G129" s="17">
        <f t="shared" si="45"/>
        <v>21.599999999999998</v>
      </c>
      <c r="H129" s="15">
        <f t="shared" ref="H129:H136" si="55">H128</f>
        <v>1</v>
      </c>
      <c r="I129" s="24">
        <f t="shared" si="46"/>
        <v>14.4</v>
      </c>
      <c r="J129">
        <v>0</v>
      </c>
      <c r="K129" s="37">
        <f t="shared" si="47"/>
        <v>4</v>
      </c>
      <c r="L129" s="37">
        <f t="shared" si="48"/>
        <v>1</v>
      </c>
      <c r="M129">
        <v>0</v>
      </c>
      <c r="N129" s="35">
        <f t="shared" si="49"/>
        <v>210</v>
      </c>
      <c r="O129" s="10">
        <f t="shared" si="50"/>
        <v>820</v>
      </c>
      <c r="P129" s="10">
        <f t="shared" si="51"/>
        <v>1080</v>
      </c>
      <c r="Q129" s="10">
        <f t="shared" si="52"/>
        <v>0</v>
      </c>
      <c r="R129" s="10">
        <f t="shared" si="53"/>
        <v>0</v>
      </c>
      <c r="S129" s="36">
        <f t="shared" si="54"/>
        <v>10150</v>
      </c>
      <c r="T129" s="37">
        <v>0</v>
      </c>
      <c r="U129" t="s">
        <v>146</v>
      </c>
      <c r="V129" t="s">
        <v>147</v>
      </c>
      <c r="W129" s="37" t="s">
        <v>257</v>
      </c>
      <c r="X129" t="s">
        <v>149</v>
      </c>
      <c r="Y129" s="3">
        <v>24</v>
      </c>
    </row>
    <row r="130" spans="1:25" x14ac:dyDescent="0.25">
      <c r="A130" t="s">
        <v>157</v>
      </c>
      <c r="B130">
        <v>2110</v>
      </c>
      <c r="C130">
        <v>4</v>
      </c>
      <c r="D130" t="s">
        <v>144</v>
      </c>
      <c r="E130" t="s">
        <v>158</v>
      </c>
      <c r="F130" s="16">
        <f t="shared" si="44"/>
        <v>3360</v>
      </c>
      <c r="G130" s="17">
        <f t="shared" si="45"/>
        <v>25.2</v>
      </c>
      <c r="H130" s="15">
        <f t="shared" si="55"/>
        <v>1</v>
      </c>
      <c r="I130" s="24">
        <f t="shared" si="46"/>
        <v>16.8</v>
      </c>
      <c r="J130">
        <v>0</v>
      </c>
      <c r="K130" s="37">
        <f t="shared" si="47"/>
        <v>4</v>
      </c>
      <c r="L130" s="37">
        <f t="shared" si="48"/>
        <v>1</v>
      </c>
      <c r="M130">
        <v>0</v>
      </c>
      <c r="N130" s="35">
        <f t="shared" si="49"/>
        <v>440</v>
      </c>
      <c r="O130" s="10">
        <f t="shared" si="50"/>
        <v>1230</v>
      </c>
      <c r="P130" s="10">
        <f t="shared" si="51"/>
        <v>1600</v>
      </c>
      <c r="Q130" s="10">
        <f t="shared" si="52"/>
        <v>0</v>
      </c>
      <c r="R130" s="10">
        <f t="shared" si="53"/>
        <v>0</v>
      </c>
      <c r="S130" s="36">
        <f t="shared" si="54"/>
        <v>14240</v>
      </c>
      <c r="T130" s="37">
        <v>0</v>
      </c>
      <c r="U130" t="s">
        <v>146</v>
      </c>
      <c r="V130" t="s">
        <v>147</v>
      </c>
      <c r="W130" s="37" t="s">
        <v>257</v>
      </c>
      <c r="X130" t="s">
        <v>149</v>
      </c>
      <c r="Y130" s="3">
        <v>33</v>
      </c>
    </row>
    <row r="131" spans="1:25" x14ac:dyDescent="0.25">
      <c r="A131" t="s">
        <v>157</v>
      </c>
      <c r="B131">
        <v>2110</v>
      </c>
      <c r="C131">
        <v>5</v>
      </c>
      <c r="D131" t="s">
        <v>144</v>
      </c>
      <c r="E131" t="s">
        <v>158</v>
      </c>
      <c r="F131" s="16">
        <f t="shared" si="44"/>
        <v>3760</v>
      </c>
      <c r="G131" s="17">
        <f t="shared" si="45"/>
        <v>28.2</v>
      </c>
      <c r="H131" s="15">
        <f t="shared" si="55"/>
        <v>1</v>
      </c>
      <c r="I131" s="24">
        <f t="shared" si="46"/>
        <v>18.8</v>
      </c>
      <c r="J131">
        <v>0</v>
      </c>
      <c r="K131" s="37">
        <f t="shared" si="47"/>
        <v>4</v>
      </c>
      <c r="L131" s="37">
        <f t="shared" si="48"/>
        <v>1</v>
      </c>
      <c r="M131">
        <v>0</v>
      </c>
      <c r="N131" s="35">
        <f t="shared" si="49"/>
        <v>680</v>
      </c>
      <c r="O131" s="10">
        <f t="shared" si="50"/>
        <v>1730</v>
      </c>
      <c r="P131" s="10">
        <f t="shared" si="51"/>
        <v>2250</v>
      </c>
      <c r="Q131" s="10">
        <f t="shared" si="52"/>
        <v>0</v>
      </c>
      <c r="R131" s="10">
        <f t="shared" si="53"/>
        <v>0</v>
      </c>
      <c r="S131" s="36">
        <f t="shared" si="54"/>
        <v>19240</v>
      </c>
      <c r="T131" s="37">
        <v>0</v>
      </c>
      <c r="U131" t="s">
        <v>146</v>
      </c>
      <c r="V131" t="s">
        <v>147</v>
      </c>
      <c r="W131" s="37" t="s">
        <v>257</v>
      </c>
      <c r="X131" t="s">
        <v>149</v>
      </c>
      <c r="Y131" s="3">
        <v>42</v>
      </c>
    </row>
    <row r="132" spans="1:25" x14ac:dyDescent="0.25">
      <c r="A132" t="s">
        <v>157</v>
      </c>
      <c r="B132">
        <v>2110</v>
      </c>
      <c r="C132">
        <v>6</v>
      </c>
      <c r="D132" t="s">
        <v>144</v>
      </c>
      <c r="E132" t="s">
        <v>158</v>
      </c>
      <c r="F132" s="16">
        <f t="shared" si="44"/>
        <v>4240</v>
      </c>
      <c r="G132" s="17">
        <f t="shared" si="45"/>
        <v>31.799999999999997</v>
      </c>
      <c r="H132" s="15">
        <f t="shared" si="55"/>
        <v>1</v>
      </c>
      <c r="I132" s="24">
        <f t="shared" si="46"/>
        <v>21.200000000000003</v>
      </c>
      <c r="J132">
        <v>0</v>
      </c>
      <c r="K132" s="37">
        <f t="shared" si="47"/>
        <v>4</v>
      </c>
      <c r="L132" s="37">
        <f t="shared" si="48"/>
        <v>1</v>
      </c>
      <c r="M132">
        <v>0</v>
      </c>
      <c r="N132" s="35">
        <f t="shared" si="49"/>
        <v>920</v>
      </c>
      <c r="O132" s="10">
        <f t="shared" si="50"/>
        <v>2330</v>
      </c>
      <c r="P132" s="10">
        <f t="shared" si="51"/>
        <v>3040</v>
      </c>
      <c r="Q132" s="10">
        <f t="shared" si="52"/>
        <v>0</v>
      </c>
      <c r="R132" s="10">
        <f t="shared" si="53"/>
        <v>0</v>
      </c>
      <c r="S132" s="36">
        <f t="shared" si="54"/>
        <v>25350</v>
      </c>
      <c r="T132" s="37">
        <v>0</v>
      </c>
      <c r="U132" t="s">
        <v>146</v>
      </c>
      <c r="V132" t="s">
        <v>147</v>
      </c>
      <c r="W132" s="37" t="s">
        <v>257</v>
      </c>
      <c r="X132" t="s">
        <v>149</v>
      </c>
      <c r="Y132" s="3">
        <v>52</v>
      </c>
    </row>
    <row r="133" spans="1:25" x14ac:dyDescent="0.25">
      <c r="A133" t="s">
        <v>157</v>
      </c>
      <c r="B133">
        <v>2110</v>
      </c>
      <c r="C133">
        <v>7</v>
      </c>
      <c r="D133" t="s">
        <v>144</v>
      </c>
      <c r="E133" t="s">
        <v>158</v>
      </c>
      <c r="F133" s="16">
        <f t="shared" si="44"/>
        <v>4800</v>
      </c>
      <c r="G133" s="17">
        <f t="shared" si="45"/>
        <v>36</v>
      </c>
      <c r="H133" s="15">
        <f t="shared" si="55"/>
        <v>1</v>
      </c>
      <c r="I133" s="24">
        <f t="shared" si="46"/>
        <v>24</v>
      </c>
      <c r="J133">
        <v>0</v>
      </c>
      <c r="K133" s="37">
        <f t="shared" si="47"/>
        <v>4</v>
      </c>
      <c r="L133" s="37">
        <f t="shared" si="48"/>
        <v>1</v>
      </c>
      <c r="M133">
        <v>0</v>
      </c>
      <c r="N133" s="35">
        <f t="shared" si="49"/>
        <v>1190</v>
      </c>
      <c r="O133" s="10">
        <f t="shared" si="50"/>
        <v>3070</v>
      </c>
      <c r="P133" s="10">
        <f t="shared" si="51"/>
        <v>4000</v>
      </c>
      <c r="Q133" s="10">
        <f t="shared" si="52"/>
        <v>170</v>
      </c>
      <c r="R133" s="10">
        <f t="shared" si="53"/>
        <v>0</v>
      </c>
      <c r="S133" s="36">
        <f t="shared" si="54"/>
        <v>32810</v>
      </c>
      <c r="T133" s="37">
        <v>0</v>
      </c>
      <c r="U133" t="s">
        <v>146</v>
      </c>
      <c r="V133" t="s">
        <v>147</v>
      </c>
      <c r="W133" s="37" t="s">
        <v>257</v>
      </c>
      <c r="X133" t="s">
        <v>149</v>
      </c>
      <c r="Y133" s="3">
        <v>63</v>
      </c>
    </row>
    <row r="134" spans="1:25" x14ac:dyDescent="0.25">
      <c r="A134" t="s">
        <v>157</v>
      </c>
      <c r="B134">
        <v>2110</v>
      </c>
      <c r="C134">
        <v>8</v>
      </c>
      <c r="D134" t="s">
        <v>144</v>
      </c>
      <c r="E134" t="s">
        <v>158</v>
      </c>
      <c r="F134" s="16">
        <f t="shared" si="44"/>
        <v>5360</v>
      </c>
      <c r="G134" s="17">
        <f t="shared" si="45"/>
        <v>40.199999999999996</v>
      </c>
      <c r="H134" s="15">
        <f t="shared" si="55"/>
        <v>1</v>
      </c>
      <c r="I134" s="24">
        <f t="shared" si="46"/>
        <v>26.8</v>
      </c>
      <c r="J134">
        <v>0</v>
      </c>
      <c r="K134" s="37">
        <f t="shared" si="47"/>
        <v>4</v>
      </c>
      <c r="L134" s="37">
        <f t="shared" si="48"/>
        <v>1</v>
      </c>
      <c r="M134">
        <v>0</v>
      </c>
      <c r="N134" s="35">
        <f t="shared" si="49"/>
        <v>1460</v>
      </c>
      <c r="O134" s="10">
        <f t="shared" si="50"/>
        <v>3980</v>
      </c>
      <c r="P134" s="10">
        <f t="shared" si="51"/>
        <v>5170</v>
      </c>
      <c r="Q134" s="10">
        <f t="shared" si="52"/>
        <v>360</v>
      </c>
      <c r="R134" s="10">
        <f t="shared" si="53"/>
        <v>0</v>
      </c>
      <c r="S134" s="36">
        <f t="shared" si="54"/>
        <v>41920</v>
      </c>
      <c r="T134" s="37">
        <v>0</v>
      </c>
      <c r="U134" t="s">
        <v>146</v>
      </c>
      <c r="V134" t="s">
        <v>147</v>
      </c>
      <c r="W134" s="37" t="s">
        <v>257</v>
      </c>
      <c r="X134" t="s">
        <v>149</v>
      </c>
      <c r="Y134" s="3">
        <v>76</v>
      </c>
    </row>
    <row r="135" spans="1:25" x14ac:dyDescent="0.25">
      <c r="A135" t="s">
        <v>157</v>
      </c>
      <c r="B135">
        <v>2110</v>
      </c>
      <c r="C135">
        <v>9</v>
      </c>
      <c r="D135" t="s">
        <v>144</v>
      </c>
      <c r="E135" t="s">
        <v>158</v>
      </c>
      <c r="F135" s="16">
        <f t="shared" si="44"/>
        <v>6000</v>
      </c>
      <c r="G135" s="17">
        <f t="shared" si="45"/>
        <v>45</v>
      </c>
      <c r="H135" s="15">
        <f t="shared" si="55"/>
        <v>1</v>
      </c>
      <c r="I135" s="24">
        <f t="shared" si="46"/>
        <v>30</v>
      </c>
      <c r="J135">
        <v>0</v>
      </c>
      <c r="K135" s="37">
        <f t="shared" si="47"/>
        <v>4</v>
      </c>
      <c r="L135" s="37">
        <f t="shared" si="48"/>
        <v>1</v>
      </c>
      <c r="M135">
        <v>0</v>
      </c>
      <c r="N135" s="35">
        <f t="shared" si="49"/>
        <v>1750</v>
      </c>
      <c r="O135" s="10">
        <f t="shared" si="50"/>
        <v>5080</v>
      </c>
      <c r="P135" s="10">
        <f t="shared" si="51"/>
        <v>6610</v>
      </c>
      <c r="Q135" s="10">
        <f t="shared" si="52"/>
        <v>590</v>
      </c>
      <c r="R135" s="10">
        <f t="shared" si="53"/>
        <v>0</v>
      </c>
      <c r="S135" s="36">
        <f t="shared" si="54"/>
        <v>53050</v>
      </c>
      <c r="T135" s="37">
        <v>0</v>
      </c>
      <c r="U135" t="s">
        <v>146</v>
      </c>
      <c r="V135" t="s">
        <v>147</v>
      </c>
      <c r="W135" s="37" t="s">
        <v>257</v>
      </c>
      <c r="X135" t="s">
        <v>149</v>
      </c>
      <c r="Y135" s="3">
        <v>90</v>
      </c>
    </row>
    <row r="136" spans="1:25" x14ac:dyDescent="0.25">
      <c r="A136" t="s">
        <v>157</v>
      </c>
      <c r="B136">
        <v>2110</v>
      </c>
      <c r="C136">
        <v>10</v>
      </c>
      <c r="D136" t="s">
        <v>144</v>
      </c>
      <c r="E136" t="s">
        <v>158</v>
      </c>
      <c r="F136" s="16">
        <f t="shared" si="44"/>
        <v>6720</v>
      </c>
      <c r="G136" s="17">
        <f t="shared" si="45"/>
        <v>50.4</v>
      </c>
      <c r="H136" s="15">
        <f t="shared" si="55"/>
        <v>1</v>
      </c>
      <c r="I136" s="24">
        <f t="shared" si="46"/>
        <v>33.6</v>
      </c>
      <c r="J136">
        <v>0</v>
      </c>
      <c r="K136" s="37">
        <f t="shared" si="47"/>
        <v>4</v>
      </c>
      <c r="L136" s="37">
        <f t="shared" si="48"/>
        <v>1</v>
      </c>
      <c r="M136">
        <v>0</v>
      </c>
      <c r="N136" s="35">
        <f t="shared" si="49"/>
        <v>2050</v>
      </c>
      <c r="O136" s="10">
        <f t="shared" si="50"/>
        <v>6430</v>
      </c>
      <c r="P136" s="10">
        <f t="shared" si="51"/>
        <v>8360</v>
      </c>
      <c r="Q136" s="10">
        <f t="shared" si="52"/>
        <v>850</v>
      </c>
      <c r="R136" s="10">
        <f t="shared" si="53"/>
        <v>0</v>
      </c>
      <c r="S136" s="36">
        <f t="shared" si="54"/>
        <v>66650</v>
      </c>
      <c r="T136" s="37">
        <v>0</v>
      </c>
      <c r="U136" t="s">
        <v>146</v>
      </c>
      <c r="V136" t="s">
        <v>147</v>
      </c>
      <c r="W136" s="37" t="s">
        <v>257</v>
      </c>
      <c r="X136" t="s">
        <v>149</v>
      </c>
      <c r="Y136" s="3">
        <v>105</v>
      </c>
    </row>
    <row r="137" spans="1:25" x14ac:dyDescent="0.25">
      <c r="G137" s="15"/>
      <c r="H137" s="15"/>
    </row>
    <row r="138" spans="1:25" x14ac:dyDescent="0.25">
      <c r="A138" t="s">
        <v>203</v>
      </c>
      <c r="B138" s="15" t="s">
        <v>201</v>
      </c>
      <c r="C138">
        <v>15</v>
      </c>
      <c r="G138" s="15"/>
      <c r="H138" s="15"/>
      <c r="K138" s="7" t="s">
        <v>1</v>
      </c>
      <c r="L138" s="8" t="s">
        <v>2</v>
      </c>
      <c r="M138" s="8" t="s">
        <v>194</v>
      </c>
      <c r="N138" s="33" t="s">
        <v>204</v>
      </c>
      <c r="O138" s="12" t="s">
        <v>205</v>
      </c>
    </row>
    <row r="139" spans="1:25" x14ac:dyDescent="0.25">
      <c r="A139" t="s">
        <v>203</v>
      </c>
      <c r="B139" t="s">
        <v>202</v>
      </c>
      <c r="C139">
        <v>7</v>
      </c>
      <c r="G139" s="15"/>
      <c r="H139" s="15" t="s">
        <v>132</v>
      </c>
      <c r="K139">
        <v>0.2</v>
      </c>
      <c r="L139">
        <v>800</v>
      </c>
      <c r="M139">
        <v>9000</v>
      </c>
    </row>
    <row r="140" spans="1:25" x14ac:dyDescent="0.25">
      <c r="A140" t="s">
        <v>203</v>
      </c>
      <c r="B140" t="s">
        <v>128</v>
      </c>
      <c r="C140" t="s">
        <v>116</v>
      </c>
      <c r="G140" s="15"/>
      <c r="H140" s="15" t="s">
        <v>133</v>
      </c>
      <c r="K140">
        <v>0.25</v>
      </c>
      <c r="L140">
        <v>1800</v>
      </c>
      <c r="M140">
        <v>11000</v>
      </c>
    </row>
    <row r="141" spans="1:25" x14ac:dyDescent="0.25">
      <c r="A141" t="s">
        <v>203</v>
      </c>
      <c r="G141" s="15"/>
      <c r="H141" s="15" t="s">
        <v>198</v>
      </c>
      <c r="K141">
        <v>0.25</v>
      </c>
      <c r="L141">
        <v>2320</v>
      </c>
      <c r="M141">
        <v>13000</v>
      </c>
    </row>
    <row r="142" spans="1:25" x14ac:dyDescent="0.25">
      <c r="A142" t="s">
        <v>203</v>
      </c>
      <c r="G142" s="15"/>
      <c r="H142" s="15" t="s">
        <v>135</v>
      </c>
      <c r="K142">
        <v>0.05</v>
      </c>
      <c r="L142">
        <v>-2</v>
      </c>
      <c r="M142">
        <v>2000</v>
      </c>
    </row>
    <row r="143" spans="1:25" x14ac:dyDescent="0.25">
      <c r="A143" t="s">
        <v>203</v>
      </c>
      <c r="G143" s="15"/>
      <c r="H143" s="15" t="s">
        <v>136</v>
      </c>
      <c r="K143" s="15">
        <v>0.05</v>
      </c>
      <c r="L143" s="15">
        <v>20</v>
      </c>
      <c r="M143" s="15">
        <v>50</v>
      </c>
    </row>
    <row r="144" spans="1:25" x14ac:dyDescent="0.25">
      <c r="A144" t="s">
        <v>203</v>
      </c>
      <c r="G144" s="15"/>
      <c r="H144" s="15" t="s">
        <v>69</v>
      </c>
      <c r="K144">
        <v>0.04</v>
      </c>
      <c r="L144">
        <v>48000</v>
      </c>
      <c r="M144">
        <v>180000</v>
      </c>
      <c r="N144" s="34" t="str">
        <f>TEXT(L144/86400,CHOOSE(MATCH(L144,{0,60,3600},1),":ss","m:ss","[h]:mm:ss"))</f>
        <v>13:20:00</v>
      </c>
      <c r="O144" s="11" t="str">
        <f>TEXT(M144/86400,CHOOSE(MATCH(M144,{0,60,3600},1),":ss","m:ss","[h]:mm:ss"))</f>
        <v>50:00:00</v>
      </c>
    </row>
    <row r="145" spans="1:25" s="37" customFormat="1" x14ac:dyDescent="0.25">
      <c r="A145" s="37" t="s">
        <v>203</v>
      </c>
      <c r="F145" s="16"/>
      <c r="G145" s="15"/>
      <c r="H145" s="15" t="s">
        <v>142</v>
      </c>
      <c r="I145" s="24"/>
      <c r="K145" s="15">
        <v>0.05</v>
      </c>
      <c r="L145" s="15">
        <v>35</v>
      </c>
      <c r="M145" s="15">
        <v>500</v>
      </c>
      <c r="N145" s="16"/>
      <c r="S145" s="21"/>
    </row>
    <row r="146" spans="1:25" s="37" customFormat="1" x14ac:dyDescent="0.25">
      <c r="F146" s="16"/>
      <c r="G146" s="15"/>
      <c r="H146" s="15"/>
      <c r="I146" s="24"/>
      <c r="K146" s="15"/>
      <c r="L146" s="15"/>
      <c r="M146" s="15"/>
      <c r="N146" s="16"/>
      <c r="S146" s="21"/>
    </row>
    <row r="147" spans="1:25" x14ac:dyDescent="0.25">
      <c r="A147" t="s">
        <v>159</v>
      </c>
      <c r="B147">
        <v>2109</v>
      </c>
      <c r="C147">
        <v>0</v>
      </c>
      <c r="D147" t="s">
        <v>144</v>
      </c>
      <c r="E147" t="s">
        <v>145</v>
      </c>
      <c r="F147" s="16">
        <v>500</v>
      </c>
      <c r="G147" s="15">
        <v>0</v>
      </c>
      <c r="H147" s="15">
        <v>0</v>
      </c>
      <c r="I147" s="24">
        <v>0</v>
      </c>
      <c r="J147">
        <v>0</v>
      </c>
      <c r="K147">
        <v>0</v>
      </c>
      <c r="L147">
        <v>0</v>
      </c>
      <c r="M147">
        <v>0</v>
      </c>
      <c r="N147" s="16">
        <v>0</v>
      </c>
      <c r="O147">
        <v>0</v>
      </c>
      <c r="P147">
        <v>0</v>
      </c>
      <c r="Q147">
        <v>0</v>
      </c>
      <c r="R147">
        <v>0</v>
      </c>
      <c r="S147" s="21">
        <v>0</v>
      </c>
      <c r="T147">
        <v>0</v>
      </c>
      <c r="U147" t="s">
        <v>146</v>
      </c>
      <c r="V147" t="s">
        <v>147</v>
      </c>
      <c r="W147" s="37" t="s">
        <v>257</v>
      </c>
      <c r="X147" t="s">
        <v>149</v>
      </c>
      <c r="Y147">
        <v>0</v>
      </c>
    </row>
    <row r="148" spans="1:25" x14ac:dyDescent="0.25">
      <c r="A148" t="s">
        <v>159</v>
      </c>
      <c r="B148">
        <v>2109</v>
      </c>
      <c r="C148">
        <v>1</v>
      </c>
      <c r="D148" t="s">
        <v>144</v>
      </c>
      <c r="E148" t="s">
        <v>160</v>
      </c>
      <c r="F148" s="16">
        <f t="shared" ref="F148:F162" si="56">VLOOKUP($C$140,$C$4:$M$9,4,FALSE)*(LOOKUP($C$139,$B$13:$B$28,$C$13:$C$28)+LOOKUP($C148,$B$13:$B$28,$D$13:$D$28))</f>
        <v>2080</v>
      </c>
      <c r="G148" s="17">
        <f t="shared" ref="G148:G162" si="57">VLOOKUP($C$140,$C$4:$M$9,5,FALSE)*(LOOKUP($C$139,$B$13:$B$28,$C$13:$C$28)+LOOKUP($C148,$B$13:$B$28,$D$13:$D$28))</f>
        <v>31.2</v>
      </c>
      <c r="H148" s="15">
        <f>VLOOKUP($C$140,$C$4:$M$9,6,FALSE)</f>
        <v>1</v>
      </c>
      <c r="I148" s="24">
        <f t="shared" ref="I148:I162" si="58">VLOOKUP($C$140,$C$4:$M$9,7,FALSE)*(LOOKUP($C$139,$B$13:$B$28,$C$13:$C$28)+LOOKUP($C148,$B$13:$B$28,$D$13:$D$28))</f>
        <v>20.8</v>
      </c>
      <c r="J148">
        <v>0</v>
      </c>
      <c r="K148">
        <f t="shared" ref="K148:K162" si="59">VLOOKUP($C$140,$C$4:$M$9,9,FALSE)</f>
        <v>4</v>
      </c>
      <c r="L148">
        <f t="shared" ref="L148:L162" si="60">VLOOKUP($C$140,$C$4:$M$9,10,FALSE)</f>
        <v>1</v>
      </c>
      <c r="M148">
        <v>0</v>
      </c>
      <c r="N148" s="35">
        <f>ROUND(GetValue($C148,$C$138,$K$139,$L$139,$M$139),-1)</f>
        <v>800</v>
      </c>
      <c r="O148" s="10">
        <f>ROUND(GetValue($C148,$C$138,$K$140,$L$140,$M$140),-1)</f>
        <v>1800</v>
      </c>
      <c r="P148" s="10">
        <f>ROUND(GetValue($C148,$C$138,$K$141,$L$141,$M$141),-1)</f>
        <v>2320</v>
      </c>
      <c r="Q148" s="10">
        <f>ROUND(GetValue($C148,$C$138,$K$142,$L$142,$M$142),-1)</f>
        <v>0</v>
      </c>
      <c r="R148" s="10">
        <f>ROUND(GetValue($C148,$C$138,$K$143,$L$143,$M$143),-1)</f>
        <v>20</v>
      </c>
      <c r="S148" s="36">
        <f>ROUND(GetValue($C148,$C$138,$K$144,$L$144,$M$144),-1)</f>
        <v>48000</v>
      </c>
      <c r="T148" s="37">
        <v>0</v>
      </c>
      <c r="U148" t="s">
        <v>146</v>
      </c>
      <c r="V148" t="s">
        <v>147</v>
      </c>
      <c r="W148" s="37" t="s">
        <v>257</v>
      </c>
      <c r="X148" t="s">
        <v>149</v>
      </c>
      <c r="Y148" s="10">
        <f>ROUND(GetValue($C148,$C$138,$K$145,$L$145,$M$145),0)</f>
        <v>35</v>
      </c>
    </row>
    <row r="149" spans="1:25" x14ac:dyDescent="0.25">
      <c r="A149" t="s">
        <v>159</v>
      </c>
      <c r="B149">
        <v>2109</v>
      </c>
      <c r="C149">
        <v>2</v>
      </c>
      <c r="D149" t="s">
        <v>144</v>
      </c>
      <c r="E149" t="s">
        <v>160</v>
      </c>
      <c r="F149" s="16">
        <f t="shared" si="56"/>
        <v>2200</v>
      </c>
      <c r="G149" s="17">
        <f t="shared" si="57"/>
        <v>33</v>
      </c>
      <c r="H149" s="15">
        <f>H148</f>
        <v>1</v>
      </c>
      <c r="I149" s="24">
        <f t="shared" si="58"/>
        <v>22</v>
      </c>
      <c r="J149">
        <v>0</v>
      </c>
      <c r="K149" s="37">
        <f t="shared" si="59"/>
        <v>4</v>
      </c>
      <c r="L149" s="37">
        <f t="shared" si="60"/>
        <v>1</v>
      </c>
      <c r="M149">
        <v>0</v>
      </c>
      <c r="N149" s="35">
        <f t="shared" ref="N149:N162" si="61">ROUND(GetValue($C149,$C$138,$K$139,$L$139,$M$139),-1)</f>
        <v>930</v>
      </c>
      <c r="O149" s="10">
        <f t="shared" ref="O149:O162" si="62">ROUND(GetValue($C149,$C$138,$K$140,$L$140,$M$140),-1)</f>
        <v>1910</v>
      </c>
      <c r="P149" s="10">
        <f t="shared" ref="P149:P162" si="63">ROUND(GetValue($C149,$C$138,$K$141,$L$141,$M$141),-1)</f>
        <v>2450</v>
      </c>
      <c r="Q149" s="10">
        <f t="shared" ref="Q149:Q162" si="64">ROUND(GetValue($C149,$C$138,$K$142,$L$142,$M$142),-1)</f>
        <v>0</v>
      </c>
      <c r="R149" s="10">
        <f t="shared" ref="R149:R162" si="65">ROUND(GetValue($C149,$C$138,$K$143,$L$143,$M$143),-1)</f>
        <v>20</v>
      </c>
      <c r="S149" s="36">
        <f t="shared" ref="S149:S162" si="66">ROUND(GetValue($C149,$C$138,$K$144,$L$144,$M$144),-1)</f>
        <v>53320</v>
      </c>
      <c r="T149" s="37">
        <v>0</v>
      </c>
      <c r="U149" t="s">
        <v>146</v>
      </c>
      <c r="V149" t="s">
        <v>147</v>
      </c>
      <c r="W149" s="37" t="s">
        <v>257</v>
      </c>
      <c r="X149" t="s">
        <v>149</v>
      </c>
      <c r="Y149" s="10">
        <f t="shared" ref="Y149:Y162" si="67">ROUND(GetValue($C149,$C$138,$K$145,$L$145,$M$145),0)</f>
        <v>49</v>
      </c>
    </row>
    <row r="150" spans="1:25" x14ac:dyDescent="0.25">
      <c r="A150" t="s">
        <v>159</v>
      </c>
      <c r="B150">
        <v>2109</v>
      </c>
      <c r="C150">
        <v>3</v>
      </c>
      <c r="D150" t="s">
        <v>144</v>
      </c>
      <c r="E150" t="s">
        <v>160</v>
      </c>
      <c r="F150" s="16">
        <f t="shared" si="56"/>
        <v>2400</v>
      </c>
      <c r="G150" s="17">
        <f t="shared" si="57"/>
        <v>36</v>
      </c>
      <c r="H150" s="15">
        <f t="shared" ref="H150:H162" si="68">H149</f>
        <v>1</v>
      </c>
      <c r="I150" s="24">
        <f t="shared" si="58"/>
        <v>24</v>
      </c>
      <c r="J150">
        <v>0</v>
      </c>
      <c r="K150" s="37">
        <f t="shared" si="59"/>
        <v>4</v>
      </c>
      <c r="L150" s="37">
        <f t="shared" si="60"/>
        <v>1</v>
      </c>
      <c r="M150">
        <v>0</v>
      </c>
      <c r="N150" s="35">
        <f t="shared" si="61"/>
        <v>1090</v>
      </c>
      <c r="O150" s="10">
        <f t="shared" si="62"/>
        <v>2050</v>
      </c>
      <c r="P150" s="10">
        <f t="shared" si="63"/>
        <v>2620</v>
      </c>
      <c r="Q150" s="10">
        <f t="shared" si="64"/>
        <v>50</v>
      </c>
      <c r="R150" s="10">
        <f t="shared" si="65"/>
        <v>20</v>
      </c>
      <c r="S150" s="36">
        <f t="shared" si="66"/>
        <v>58850</v>
      </c>
      <c r="T150" s="37">
        <v>0</v>
      </c>
      <c r="U150" t="s">
        <v>146</v>
      </c>
      <c r="V150" t="s">
        <v>147</v>
      </c>
      <c r="W150" s="37" t="s">
        <v>257</v>
      </c>
      <c r="X150" t="s">
        <v>149</v>
      </c>
      <c r="Y150" s="10">
        <f t="shared" si="67"/>
        <v>63</v>
      </c>
    </row>
    <row r="151" spans="1:25" x14ac:dyDescent="0.25">
      <c r="A151" t="s">
        <v>159</v>
      </c>
      <c r="B151">
        <v>2109</v>
      </c>
      <c r="C151">
        <v>4</v>
      </c>
      <c r="D151" t="s">
        <v>144</v>
      </c>
      <c r="E151" t="s">
        <v>160</v>
      </c>
      <c r="F151" s="16">
        <f t="shared" si="56"/>
        <v>2640</v>
      </c>
      <c r="G151" s="17">
        <f t="shared" si="57"/>
        <v>39.6</v>
      </c>
      <c r="H151" s="15">
        <f t="shared" si="68"/>
        <v>1</v>
      </c>
      <c r="I151" s="24">
        <f t="shared" si="58"/>
        <v>26.400000000000002</v>
      </c>
      <c r="J151">
        <v>0</v>
      </c>
      <c r="K151" s="37">
        <f t="shared" si="59"/>
        <v>4</v>
      </c>
      <c r="L151" s="37">
        <f t="shared" si="60"/>
        <v>1</v>
      </c>
      <c r="M151">
        <v>0</v>
      </c>
      <c r="N151" s="35">
        <f t="shared" si="61"/>
        <v>1290</v>
      </c>
      <c r="O151" s="10">
        <f t="shared" si="62"/>
        <v>2230</v>
      </c>
      <c r="P151" s="10">
        <f t="shared" si="63"/>
        <v>2840</v>
      </c>
      <c r="Q151" s="10">
        <f t="shared" si="64"/>
        <v>110</v>
      </c>
      <c r="R151" s="10">
        <f t="shared" si="65"/>
        <v>30</v>
      </c>
      <c r="S151" s="36">
        <f t="shared" si="66"/>
        <v>64600</v>
      </c>
      <c r="T151" s="37">
        <v>0</v>
      </c>
      <c r="U151" t="s">
        <v>146</v>
      </c>
      <c r="V151" t="s">
        <v>147</v>
      </c>
      <c r="W151" s="37" t="s">
        <v>257</v>
      </c>
      <c r="X151" t="s">
        <v>149</v>
      </c>
      <c r="Y151" s="10">
        <f t="shared" si="67"/>
        <v>78</v>
      </c>
    </row>
    <row r="152" spans="1:25" x14ac:dyDescent="0.25">
      <c r="A152" t="s">
        <v>159</v>
      </c>
      <c r="B152">
        <v>2109</v>
      </c>
      <c r="C152">
        <v>5</v>
      </c>
      <c r="D152" t="s">
        <v>144</v>
      </c>
      <c r="E152" t="s">
        <v>160</v>
      </c>
      <c r="F152" s="16">
        <f t="shared" si="56"/>
        <v>2840</v>
      </c>
      <c r="G152" s="17">
        <f t="shared" si="57"/>
        <v>42.6</v>
      </c>
      <c r="H152" s="15">
        <f t="shared" si="68"/>
        <v>1</v>
      </c>
      <c r="I152" s="24">
        <f t="shared" si="58"/>
        <v>28.400000000000002</v>
      </c>
      <c r="J152">
        <v>0</v>
      </c>
      <c r="K152" s="37">
        <f t="shared" si="59"/>
        <v>4</v>
      </c>
      <c r="L152" s="37">
        <f t="shared" si="60"/>
        <v>1</v>
      </c>
      <c r="M152">
        <v>0</v>
      </c>
      <c r="N152" s="35">
        <f t="shared" si="61"/>
        <v>1530</v>
      </c>
      <c r="O152" s="10">
        <f t="shared" si="62"/>
        <v>2460</v>
      </c>
      <c r="P152" s="10">
        <f t="shared" si="63"/>
        <v>3110</v>
      </c>
      <c r="Q152" s="10">
        <f t="shared" si="64"/>
        <v>170</v>
      </c>
      <c r="R152" s="10">
        <f t="shared" si="65"/>
        <v>30</v>
      </c>
      <c r="S152" s="36">
        <f t="shared" si="66"/>
        <v>70600</v>
      </c>
      <c r="T152" s="37">
        <v>0</v>
      </c>
      <c r="U152" t="s">
        <v>146</v>
      </c>
      <c r="V152" t="s">
        <v>147</v>
      </c>
      <c r="W152" s="37" t="s">
        <v>257</v>
      </c>
      <c r="X152" t="s">
        <v>149</v>
      </c>
      <c r="Y152" s="10">
        <v>91</v>
      </c>
    </row>
    <row r="153" spans="1:25" x14ac:dyDescent="0.25">
      <c r="A153" t="s">
        <v>159</v>
      </c>
      <c r="B153">
        <v>2109</v>
      </c>
      <c r="C153">
        <v>6</v>
      </c>
      <c r="D153" t="s">
        <v>144</v>
      </c>
      <c r="E153" t="s">
        <v>160</v>
      </c>
      <c r="F153" s="16">
        <f t="shared" si="56"/>
        <v>3080</v>
      </c>
      <c r="G153" s="17">
        <f t="shared" si="57"/>
        <v>46.199999999999996</v>
      </c>
      <c r="H153" s="15">
        <f t="shared" si="68"/>
        <v>1</v>
      </c>
      <c r="I153" s="24">
        <f t="shared" si="58"/>
        <v>30.8</v>
      </c>
      <c r="J153">
        <v>0</v>
      </c>
      <c r="K153" s="37">
        <f t="shared" si="59"/>
        <v>4</v>
      </c>
      <c r="L153" s="37">
        <f t="shared" si="60"/>
        <v>1</v>
      </c>
      <c r="M153">
        <v>0</v>
      </c>
      <c r="N153" s="35">
        <f t="shared" si="61"/>
        <v>1820</v>
      </c>
      <c r="O153" s="10">
        <f t="shared" si="62"/>
        <v>2760</v>
      </c>
      <c r="P153" s="10">
        <f t="shared" si="63"/>
        <v>3470</v>
      </c>
      <c r="Q153" s="10">
        <f t="shared" si="64"/>
        <v>230</v>
      </c>
      <c r="R153" s="10">
        <f t="shared" si="65"/>
        <v>30</v>
      </c>
      <c r="S153" s="36">
        <f t="shared" si="66"/>
        <v>76830</v>
      </c>
      <c r="T153" s="37">
        <v>0</v>
      </c>
      <c r="U153" t="s">
        <v>146</v>
      </c>
      <c r="V153" t="s">
        <v>147</v>
      </c>
      <c r="W153" s="37" t="s">
        <v>257</v>
      </c>
      <c r="X153" t="s">
        <v>149</v>
      </c>
      <c r="Y153" s="10">
        <v>108</v>
      </c>
    </row>
    <row r="154" spans="1:25" x14ac:dyDescent="0.25">
      <c r="A154" t="s">
        <v>159</v>
      </c>
      <c r="B154">
        <v>2109</v>
      </c>
      <c r="C154">
        <v>7</v>
      </c>
      <c r="D154" t="s">
        <v>144</v>
      </c>
      <c r="E154" t="s">
        <v>160</v>
      </c>
      <c r="F154" s="16">
        <f t="shared" si="56"/>
        <v>3360</v>
      </c>
      <c r="G154" s="17">
        <f t="shared" si="57"/>
        <v>50.4</v>
      </c>
      <c r="H154" s="15">
        <f t="shared" si="68"/>
        <v>1</v>
      </c>
      <c r="I154" s="24">
        <f t="shared" si="58"/>
        <v>33.6</v>
      </c>
      <c r="J154">
        <v>0</v>
      </c>
      <c r="K154" s="37">
        <f t="shared" si="59"/>
        <v>4</v>
      </c>
      <c r="L154" s="37">
        <f t="shared" si="60"/>
        <v>1</v>
      </c>
      <c r="M154">
        <v>0</v>
      </c>
      <c r="N154" s="35">
        <f t="shared" si="61"/>
        <v>2180</v>
      </c>
      <c r="O154" s="10">
        <f t="shared" si="62"/>
        <v>3150</v>
      </c>
      <c r="P154" s="10">
        <f t="shared" si="63"/>
        <v>3930</v>
      </c>
      <c r="Q154" s="10">
        <f t="shared" si="64"/>
        <v>300</v>
      </c>
      <c r="R154" s="10">
        <f t="shared" si="65"/>
        <v>30</v>
      </c>
      <c r="S154" s="36">
        <f t="shared" si="66"/>
        <v>83330</v>
      </c>
      <c r="T154" s="37">
        <v>0</v>
      </c>
      <c r="U154" t="s">
        <v>146</v>
      </c>
      <c r="V154" t="s">
        <v>147</v>
      </c>
      <c r="W154" s="37" t="s">
        <v>257</v>
      </c>
      <c r="X154" t="s">
        <v>149</v>
      </c>
      <c r="Y154" s="10">
        <v>126</v>
      </c>
    </row>
    <row r="155" spans="1:25" x14ac:dyDescent="0.25">
      <c r="A155" t="s">
        <v>159</v>
      </c>
      <c r="B155">
        <v>2109</v>
      </c>
      <c r="C155">
        <v>8</v>
      </c>
      <c r="D155" t="s">
        <v>144</v>
      </c>
      <c r="E155" t="s">
        <v>160</v>
      </c>
      <c r="F155" s="16">
        <f t="shared" si="56"/>
        <v>3640</v>
      </c>
      <c r="G155" s="17">
        <f t="shared" si="57"/>
        <v>54.6</v>
      </c>
      <c r="H155" s="15">
        <f t="shared" si="68"/>
        <v>1</v>
      </c>
      <c r="I155" s="24">
        <f t="shared" si="58"/>
        <v>36.4</v>
      </c>
      <c r="J155">
        <v>0</v>
      </c>
      <c r="K155" s="37">
        <f t="shared" si="59"/>
        <v>4</v>
      </c>
      <c r="L155" s="37">
        <f t="shared" si="60"/>
        <v>1</v>
      </c>
      <c r="M155">
        <v>0</v>
      </c>
      <c r="N155" s="35">
        <f t="shared" si="61"/>
        <v>2620</v>
      </c>
      <c r="O155" s="10">
        <f t="shared" si="62"/>
        <v>3640</v>
      </c>
      <c r="P155" s="10">
        <f t="shared" si="63"/>
        <v>4520</v>
      </c>
      <c r="Q155" s="10">
        <f t="shared" si="64"/>
        <v>370</v>
      </c>
      <c r="R155" s="10">
        <f t="shared" si="65"/>
        <v>30</v>
      </c>
      <c r="S155" s="36">
        <f t="shared" si="66"/>
        <v>90080</v>
      </c>
      <c r="T155" s="37">
        <v>0</v>
      </c>
      <c r="U155" t="s">
        <v>146</v>
      </c>
      <c r="V155" t="s">
        <v>147</v>
      </c>
      <c r="W155" s="37" t="s">
        <v>257</v>
      </c>
      <c r="X155" t="s">
        <v>149</v>
      </c>
      <c r="Y155" s="10">
        <v>144</v>
      </c>
    </row>
    <row r="156" spans="1:25" x14ac:dyDescent="0.25">
      <c r="A156" t="s">
        <v>159</v>
      </c>
      <c r="B156">
        <v>2109</v>
      </c>
      <c r="C156">
        <v>9</v>
      </c>
      <c r="D156" t="s">
        <v>144</v>
      </c>
      <c r="E156" t="s">
        <v>160</v>
      </c>
      <c r="F156" s="16">
        <f t="shared" si="56"/>
        <v>3960</v>
      </c>
      <c r="G156" s="17">
        <f t="shared" si="57"/>
        <v>59.4</v>
      </c>
      <c r="H156" s="15">
        <f t="shared" si="68"/>
        <v>1</v>
      </c>
      <c r="I156" s="24">
        <f t="shared" si="58"/>
        <v>39.6</v>
      </c>
      <c r="J156">
        <v>0</v>
      </c>
      <c r="K156" s="37">
        <f t="shared" si="59"/>
        <v>4</v>
      </c>
      <c r="L156" s="37">
        <f t="shared" si="60"/>
        <v>1</v>
      </c>
      <c r="M156">
        <v>0</v>
      </c>
      <c r="N156" s="35">
        <f t="shared" si="61"/>
        <v>3160</v>
      </c>
      <c r="O156" s="10">
        <f t="shared" si="62"/>
        <v>4270</v>
      </c>
      <c r="P156" s="10">
        <f t="shared" si="63"/>
        <v>5280</v>
      </c>
      <c r="Q156" s="10">
        <f t="shared" si="64"/>
        <v>440</v>
      </c>
      <c r="R156" s="10">
        <f t="shared" si="65"/>
        <v>40</v>
      </c>
      <c r="S156" s="36">
        <f t="shared" si="66"/>
        <v>97120</v>
      </c>
      <c r="T156" s="37">
        <v>0</v>
      </c>
      <c r="U156" t="s">
        <v>146</v>
      </c>
      <c r="V156" t="s">
        <v>147</v>
      </c>
      <c r="W156" s="37" t="s">
        <v>257</v>
      </c>
      <c r="X156" t="s">
        <v>149</v>
      </c>
      <c r="Y156" s="10">
        <v>162</v>
      </c>
    </row>
    <row r="157" spans="1:25" x14ac:dyDescent="0.25">
      <c r="A157" t="s">
        <v>159</v>
      </c>
      <c r="B157">
        <v>2109</v>
      </c>
      <c r="C157">
        <v>10</v>
      </c>
      <c r="D157" t="s">
        <v>144</v>
      </c>
      <c r="E157" t="s">
        <v>160</v>
      </c>
      <c r="F157" s="16">
        <f t="shared" si="56"/>
        <v>4320</v>
      </c>
      <c r="G157" s="17">
        <f t="shared" si="57"/>
        <v>64.8</v>
      </c>
      <c r="H157" s="15">
        <f t="shared" si="68"/>
        <v>1</v>
      </c>
      <c r="I157" s="24">
        <f t="shared" si="58"/>
        <v>43.2</v>
      </c>
      <c r="J157">
        <v>0</v>
      </c>
      <c r="K157" s="37">
        <f t="shared" si="59"/>
        <v>4</v>
      </c>
      <c r="L157" s="37">
        <f t="shared" si="60"/>
        <v>1</v>
      </c>
      <c r="M157">
        <v>0</v>
      </c>
      <c r="N157" s="35">
        <f t="shared" si="61"/>
        <v>3810</v>
      </c>
      <c r="O157" s="10">
        <f t="shared" si="62"/>
        <v>5080</v>
      </c>
      <c r="P157" s="10">
        <f t="shared" si="63"/>
        <v>6250</v>
      </c>
      <c r="Q157" s="10">
        <f t="shared" si="64"/>
        <v>510</v>
      </c>
      <c r="R157" s="10">
        <f t="shared" si="65"/>
        <v>40</v>
      </c>
      <c r="S157" s="36">
        <f t="shared" si="66"/>
        <v>104430</v>
      </c>
      <c r="T157" s="37">
        <v>0</v>
      </c>
      <c r="U157" t="s">
        <v>146</v>
      </c>
      <c r="V157" t="s">
        <v>147</v>
      </c>
      <c r="W157" s="37" t="s">
        <v>257</v>
      </c>
      <c r="X157" t="s">
        <v>149</v>
      </c>
      <c r="Y157" s="10">
        <f t="shared" si="67"/>
        <v>186</v>
      </c>
    </row>
    <row r="158" spans="1:25" x14ac:dyDescent="0.25">
      <c r="A158" t="s">
        <v>159</v>
      </c>
      <c r="B158">
        <v>2109</v>
      </c>
      <c r="C158">
        <v>11</v>
      </c>
      <c r="D158" t="s">
        <v>144</v>
      </c>
      <c r="E158" t="s">
        <v>160</v>
      </c>
      <c r="F158" s="16">
        <f t="shared" si="56"/>
        <v>4680</v>
      </c>
      <c r="G158" s="17">
        <f t="shared" si="57"/>
        <v>70.2</v>
      </c>
      <c r="H158" s="15">
        <f t="shared" si="68"/>
        <v>1</v>
      </c>
      <c r="I158" s="24">
        <f t="shared" si="58"/>
        <v>46.800000000000004</v>
      </c>
      <c r="J158">
        <v>0</v>
      </c>
      <c r="K158" s="37">
        <f t="shared" si="59"/>
        <v>4</v>
      </c>
      <c r="L158" s="37">
        <f t="shared" si="60"/>
        <v>1</v>
      </c>
      <c r="M158">
        <v>0</v>
      </c>
      <c r="N158" s="35">
        <f t="shared" si="61"/>
        <v>4610</v>
      </c>
      <c r="O158" s="10">
        <f t="shared" si="62"/>
        <v>6120</v>
      </c>
      <c r="P158" s="10">
        <f t="shared" si="63"/>
        <v>7490</v>
      </c>
      <c r="Q158" s="10">
        <f t="shared" si="64"/>
        <v>590</v>
      </c>
      <c r="R158" s="10">
        <f t="shared" si="65"/>
        <v>40</v>
      </c>
      <c r="S158" s="36">
        <f t="shared" si="66"/>
        <v>112050</v>
      </c>
      <c r="T158" s="37">
        <v>0</v>
      </c>
      <c r="U158" t="s">
        <v>146</v>
      </c>
      <c r="V158" t="s">
        <v>147</v>
      </c>
      <c r="W158" s="37" t="s">
        <v>257</v>
      </c>
      <c r="X158" t="s">
        <v>149</v>
      </c>
      <c r="Y158" s="10">
        <v>210</v>
      </c>
    </row>
    <row r="159" spans="1:25" x14ac:dyDescent="0.25">
      <c r="A159" t="s">
        <v>159</v>
      </c>
      <c r="B159">
        <v>2109</v>
      </c>
      <c r="C159">
        <v>12</v>
      </c>
      <c r="D159" t="s">
        <v>144</v>
      </c>
      <c r="E159" t="s">
        <v>160</v>
      </c>
      <c r="F159" s="16">
        <f t="shared" si="56"/>
        <v>5080</v>
      </c>
      <c r="G159" s="17">
        <f t="shared" si="57"/>
        <v>76.2</v>
      </c>
      <c r="H159" s="15">
        <f t="shared" si="68"/>
        <v>1</v>
      </c>
      <c r="I159" s="24">
        <f t="shared" si="58"/>
        <v>50.800000000000004</v>
      </c>
      <c r="J159">
        <v>0</v>
      </c>
      <c r="K159" s="37">
        <f t="shared" si="59"/>
        <v>4</v>
      </c>
      <c r="L159" s="37">
        <f t="shared" si="60"/>
        <v>1</v>
      </c>
      <c r="M159">
        <v>0</v>
      </c>
      <c r="N159" s="35">
        <f t="shared" si="61"/>
        <v>5580</v>
      </c>
      <c r="O159" s="10">
        <f t="shared" si="62"/>
        <v>7460</v>
      </c>
      <c r="P159" s="10">
        <f t="shared" si="63"/>
        <v>9090</v>
      </c>
      <c r="Q159" s="10">
        <f t="shared" si="64"/>
        <v>680</v>
      </c>
      <c r="R159" s="10">
        <f t="shared" si="65"/>
        <v>50</v>
      </c>
      <c r="S159" s="36">
        <f t="shared" si="66"/>
        <v>119980</v>
      </c>
      <c r="T159" s="37">
        <v>0</v>
      </c>
      <c r="U159" t="s">
        <v>146</v>
      </c>
      <c r="V159" t="s">
        <v>147</v>
      </c>
      <c r="W159" s="37" t="s">
        <v>257</v>
      </c>
      <c r="X159" t="s">
        <v>149</v>
      </c>
      <c r="Y159" s="10">
        <f t="shared" si="67"/>
        <v>230</v>
      </c>
    </row>
    <row r="160" spans="1:25" x14ac:dyDescent="0.25">
      <c r="A160" t="s">
        <v>159</v>
      </c>
      <c r="B160">
        <v>2109</v>
      </c>
      <c r="C160">
        <v>13</v>
      </c>
      <c r="D160" t="s">
        <v>144</v>
      </c>
      <c r="E160" t="s">
        <v>160</v>
      </c>
      <c r="F160" s="16">
        <f t="shared" si="56"/>
        <v>5520</v>
      </c>
      <c r="G160" s="17">
        <f t="shared" si="57"/>
        <v>82.8</v>
      </c>
      <c r="H160" s="15">
        <f t="shared" si="68"/>
        <v>1</v>
      </c>
      <c r="I160" s="24">
        <f t="shared" si="58"/>
        <v>55.2</v>
      </c>
      <c r="J160">
        <v>0</v>
      </c>
      <c r="K160" s="37">
        <f t="shared" si="59"/>
        <v>4</v>
      </c>
      <c r="L160" s="37">
        <f t="shared" si="60"/>
        <v>1</v>
      </c>
      <c r="M160">
        <v>0</v>
      </c>
      <c r="N160" s="35">
        <f t="shared" si="61"/>
        <v>6770</v>
      </c>
      <c r="O160" s="10">
        <f t="shared" si="62"/>
        <v>9180</v>
      </c>
      <c r="P160" s="10">
        <f t="shared" si="63"/>
        <v>11150</v>
      </c>
      <c r="Q160" s="10">
        <f t="shared" si="64"/>
        <v>770</v>
      </c>
      <c r="R160" s="10">
        <f t="shared" si="65"/>
        <v>50</v>
      </c>
      <c r="S160" s="36">
        <f t="shared" si="66"/>
        <v>128230</v>
      </c>
      <c r="T160" s="37">
        <v>0</v>
      </c>
      <c r="U160" t="s">
        <v>146</v>
      </c>
      <c r="V160" t="s">
        <v>147</v>
      </c>
      <c r="W160" s="37" t="s">
        <v>257</v>
      </c>
      <c r="X160" t="s">
        <v>149</v>
      </c>
      <c r="Y160" s="10">
        <v>250</v>
      </c>
    </row>
    <row r="161" spans="1:25" x14ac:dyDescent="0.25">
      <c r="A161" t="s">
        <v>159</v>
      </c>
      <c r="B161">
        <v>2109</v>
      </c>
      <c r="C161">
        <v>14</v>
      </c>
      <c r="D161" t="s">
        <v>144</v>
      </c>
      <c r="E161" t="s">
        <v>160</v>
      </c>
      <c r="F161" s="16">
        <f t="shared" si="56"/>
        <v>5960</v>
      </c>
      <c r="G161" s="17">
        <f t="shared" si="57"/>
        <v>89.399999999999991</v>
      </c>
      <c r="H161" s="15">
        <f t="shared" si="68"/>
        <v>1</v>
      </c>
      <c r="I161" s="24">
        <f t="shared" si="58"/>
        <v>59.6</v>
      </c>
      <c r="J161">
        <v>0</v>
      </c>
      <c r="K161" s="37">
        <f t="shared" si="59"/>
        <v>4</v>
      </c>
      <c r="L161" s="37">
        <f t="shared" si="60"/>
        <v>1</v>
      </c>
      <c r="M161">
        <v>0</v>
      </c>
      <c r="N161" s="35">
        <f t="shared" si="61"/>
        <v>8230</v>
      </c>
      <c r="O161" s="10">
        <f t="shared" si="62"/>
        <v>11380</v>
      </c>
      <c r="P161" s="10">
        <f t="shared" si="63"/>
        <v>13790</v>
      </c>
      <c r="Q161" s="10">
        <f t="shared" si="64"/>
        <v>860</v>
      </c>
      <c r="R161" s="10">
        <f t="shared" si="65"/>
        <v>50</v>
      </c>
      <c r="S161" s="36">
        <f t="shared" si="66"/>
        <v>136820</v>
      </c>
      <c r="T161" s="37">
        <v>0</v>
      </c>
      <c r="U161" t="s">
        <v>146</v>
      </c>
      <c r="V161" t="s">
        <v>147</v>
      </c>
      <c r="W161" s="37" t="s">
        <v>257</v>
      </c>
      <c r="X161" t="s">
        <v>149</v>
      </c>
      <c r="Y161" s="10">
        <v>280</v>
      </c>
    </row>
    <row r="162" spans="1:25" x14ac:dyDescent="0.25">
      <c r="A162" t="s">
        <v>159</v>
      </c>
      <c r="B162">
        <v>2109</v>
      </c>
      <c r="C162">
        <v>15</v>
      </c>
      <c r="D162" t="s">
        <v>144</v>
      </c>
      <c r="E162" t="s">
        <v>160</v>
      </c>
      <c r="F162" s="16">
        <f t="shared" si="56"/>
        <v>6480</v>
      </c>
      <c r="G162" s="17">
        <f t="shared" si="57"/>
        <v>97.2</v>
      </c>
      <c r="H162" s="15">
        <f t="shared" si="68"/>
        <v>1</v>
      </c>
      <c r="I162" s="24">
        <f t="shared" si="58"/>
        <v>64.8</v>
      </c>
      <c r="J162">
        <v>0</v>
      </c>
      <c r="K162" s="37">
        <f t="shared" si="59"/>
        <v>4</v>
      </c>
      <c r="L162" s="37">
        <f t="shared" si="60"/>
        <v>1</v>
      </c>
      <c r="M162">
        <v>0</v>
      </c>
      <c r="N162" s="35">
        <f t="shared" si="61"/>
        <v>10000</v>
      </c>
      <c r="O162" s="10">
        <f t="shared" si="62"/>
        <v>14210</v>
      </c>
      <c r="P162" s="10">
        <f t="shared" si="63"/>
        <v>17180</v>
      </c>
      <c r="Q162" s="10">
        <f t="shared" si="64"/>
        <v>960</v>
      </c>
      <c r="R162" s="10">
        <f t="shared" si="65"/>
        <v>60</v>
      </c>
      <c r="S162" s="36">
        <f t="shared" si="66"/>
        <v>145760</v>
      </c>
      <c r="T162" s="37">
        <v>0</v>
      </c>
      <c r="U162" t="s">
        <v>146</v>
      </c>
      <c r="V162" t="s">
        <v>147</v>
      </c>
      <c r="W162" s="37" t="s">
        <v>257</v>
      </c>
      <c r="X162" t="s">
        <v>149</v>
      </c>
      <c r="Y162" s="10">
        <f t="shared" si="67"/>
        <v>304</v>
      </c>
    </row>
    <row r="163" spans="1:25" x14ac:dyDescent="0.25">
      <c r="G163" s="15"/>
      <c r="H163" s="15"/>
    </row>
    <row r="164" spans="1:25" x14ac:dyDescent="0.25">
      <c r="A164" t="s">
        <v>203</v>
      </c>
      <c r="B164" s="15" t="s">
        <v>201</v>
      </c>
      <c r="C164">
        <v>10</v>
      </c>
      <c r="G164" s="15"/>
      <c r="H164" s="15"/>
      <c r="K164" s="7" t="s">
        <v>1</v>
      </c>
      <c r="L164" s="8" t="s">
        <v>2</v>
      </c>
      <c r="M164" s="8" t="s">
        <v>194</v>
      </c>
      <c r="N164" s="33" t="s">
        <v>204</v>
      </c>
      <c r="O164" s="12" t="s">
        <v>205</v>
      </c>
    </row>
    <row r="165" spans="1:25" x14ac:dyDescent="0.25">
      <c r="A165" t="s">
        <v>203</v>
      </c>
      <c r="B165" t="s">
        <v>202</v>
      </c>
      <c r="C165">
        <v>2</v>
      </c>
      <c r="G165" s="15"/>
      <c r="H165" s="15" t="s">
        <v>132</v>
      </c>
      <c r="K165">
        <v>0.1</v>
      </c>
      <c r="L165">
        <v>-5</v>
      </c>
      <c r="M165">
        <v>4000</v>
      </c>
    </row>
    <row r="166" spans="1:25" x14ac:dyDescent="0.25">
      <c r="A166" t="s">
        <v>203</v>
      </c>
      <c r="B166" t="s">
        <v>128</v>
      </c>
      <c r="C166" t="s">
        <v>122</v>
      </c>
      <c r="G166" s="15"/>
      <c r="H166" s="15" t="s">
        <v>133</v>
      </c>
      <c r="K166">
        <v>0.25</v>
      </c>
      <c r="L166">
        <v>60</v>
      </c>
      <c r="M166">
        <v>2750</v>
      </c>
    </row>
    <row r="167" spans="1:25" x14ac:dyDescent="0.25">
      <c r="A167" t="s">
        <v>203</v>
      </c>
      <c r="G167" s="15"/>
      <c r="H167" s="15" t="s">
        <v>198</v>
      </c>
      <c r="K167">
        <v>0.25</v>
      </c>
      <c r="L167">
        <v>70</v>
      </c>
      <c r="M167">
        <v>3500</v>
      </c>
    </row>
    <row r="168" spans="1:25" x14ac:dyDescent="0.25">
      <c r="A168" t="s">
        <v>203</v>
      </c>
      <c r="G168" s="15"/>
      <c r="H168" s="15" t="s">
        <v>135</v>
      </c>
      <c r="K168">
        <v>0.15</v>
      </c>
      <c r="L168">
        <v>0</v>
      </c>
      <c r="M168">
        <v>0</v>
      </c>
    </row>
    <row r="169" spans="1:25" x14ac:dyDescent="0.25">
      <c r="A169" t="s">
        <v>203</v>
      </c>
      <c r="G169" s="15"/>
      <c r="H169" s="15" t="s">
        <v>136</v>
      </c>
      <c r="K169">
        <v>0</v>
      </c>
      <c r="L169">
        <v>0</v>
      </c>
      <c r="M169">
        <v>0</v>
      </c>
    </row>
    <row r="170" spans="1:25" x14ac:dyDescent="0.25">
      <c r="A170" t="s">
        <v>203</v>
      </c>
      <c r="G170" s="15"/>
      <c r="H170" s="15" t="s">
        <v>69</v>
      </c>
      <c r="K170">
        <v>0.2</v>
      </c>
      <c r="L170">
        <v>6000</v>
      </c>
      <c r="M170" s="37">
        <v>57500</v>
      </c>
      <c r="N170" s="34" t="str">
        <f>TEXT(L170/86400,CHOOSE(MATCH(L170,{0,60,3600},1),":ss","m:ss","[h]:mm:ss"))</f>
        <v>1:40:00</v>
      </c>
      <c r="O170" s="11" t="str">
        <f>TEXT(M170/86400,CHOOSE(MATCH(M170,{0,60,3600},1),":ss","m:ss","[h]:mm:ss"))</f>
        <v>15:58:20</v>
      </c>
    </row>
    <row r="171" spans="1:25" x14ac:dyDescent="0.25">
      <c r="G171" s="15"/>
      <c r="H171" s="15"/>
      <c r="L171" s="3"/>
      <c r="M171" s="3"/>
    </row>
    <row r="172" spans="1:25" x14ac:dyDescent="0.25">
      <c r="A172" t="s">
        <v>161</v>
      </c>
      <c r="B172">
        <v>2111</v>
      </c>
      <c r="C172">
        <v>0</v>
      </c>
      <c r="D172" t="s">
        <v>144</v>
      </c>
      <c r="E172" t="s">
        <v>145</v>
      </c>
      <c r="F172" s="16">
        <v>500</v>
      </c>
      <c r="G172" s="15">
        <v>0</v>
      </c>
      <c r="H172" s="15">
        <v>0</v>
      </c>
      <c r="I172" s="24">
        <v>0</v>
      </c>
      <c r="J172">
        <v>0</v>
      </c>
      <c r="K172">
        <v>0</v>
      </c>
      <c r="L172">
        <v>0</v>
      </c>
      <c r="M172">
        <v>0</v>
      </c>
      <c r="N172" s="16">
        <v>0</v>
      </c>
      <c r="O172">
        <v>0</v>
      </c>
      <c r="P172">
        <v>0</v>
      </c>
      <c r="Q172">
        <v>0</v>
      </c>
      <c r="R172">
        <v>0</v>
      </c>
      <c r="S172" s="21">
        <v>0</v>
      </c>
      <c r="T172">
        <v>0</v>
      </c>
      <c r="U172" t="s">
        <v>146</v>
      </c>
      <c r="V172" t="s">
        <v>147</v>
      </c>
      <c r="W172" s="37" t="s">
        <v>257</v>
      </c>
      <c r="X172" t="s">
        <v>149</v>
      </c>
      <c r="Y172">
        <v>0</v>
      </c>
    </row>
    <row r="173" spans="1:25" x14ac:dyDescent="0.25">
      <c r="A173" t="s">
        <v>161</v>
      </c>
      <c r="B173">
        <v>2111</v>
      </c>
      <c r="C173">
        <v>1</v>
      </c>
      <c r="D173" t="s">
        <v>144</v>
      </c>
      <c r="E173" t="s">
        <v>162</v>
      </c>
      <c r="F173" s="16">
        <f t="shared" ref="F173:F182" si="69">VLOOKUP($C$166,$C$4:$M$9,4,FALSE)*(LOOKUP($C$165,$B$13:$B$28,$C$13:$C$28)+LOOKUP($C173,$B$13:$B$28,$D$13:$D$28))</f>
        <v>805</v>
      </c>
      <c r="G173" s="17">
        <f t="shared" ref="G173:G182" si="70">VLOOKUP($C$166,$C$4:$M$9,5,FALSE)*(LOOKUP($C$165,$B$13:$B$28,$C$13:$C$28)+LOOKUP($C173,$B$13:$B$28,$D$13:$D$28))</f>
        <v>6.8999999999999995</v>
      </c>
      <c r="H173" s="15">
        <f>VLOOKUP($C$166,$C$4:$M$9,6,FALSE)</f>
        <v>1</v>
      </c>
      <c r="I173" s="24">
        <f t="shared" ref="I173:I182" si="71">VLOOKUP($C$166,$C$4:$M$9,7,FALSE)*(LOOKUP($C$165,$B$13:$B$28,$C$13:$C$28)+LOOKUP($C173,$B$13:$B$28,$D$13:$D$28))</f>
        <v>9.2000000000000011</v>
      </c>
      <c r="J173">
        <v>0</v>
      </c>
      <c r="K173">
        <f t="shared" ref="K173:K182" si="72">VLOOKUP($C$166,$C$4:$M$9,9,FALSE)</f>
        <v>4</v>
      </c>
      <c r="L173">
        <f t="shared" ref="L173:L182" si="73">VLOOKUP($C$166,$C$4:$M$9,10,FALSE)</f>
        <v>1</v>
      </c>
      <c r="M173">
        <v>0</v>
      </c>
      <c r="N173" s="35">
        <f>ROUND(GetValue($C173,$C$164,$K$165,$L$165,$M$165),-1)</f>
        <v>0</v>
      </c>
      <c r="O173" s="10">
        <f>ROUND(GetValue($C173,$C$164,$K$166,$L$166,$M$166),-1)</f>
        <v>60</v>
      </c>
      <c r="P173" s="10">
        <f>ROUND(GetValue($C173,$C$164,$K$167,$L$167,$M$167),-1)</f>
        <v>70</v>
      </c>
      <c r="Q173" s="10">
        <f>ROUND(GetValue($C173,$C$164,$K$168,$L$168,$M$168),-1)</f>
        <v>0</v>
      </c>
      <c r="R173" s="10">
        <f>ROUND(GetValue($C173,$C$164,$K$169,$L$169,$M$169),-1)</f>
        <v>0</v>
      </c>
      <c r="S173" s="36">
        <v>3000</v>
      </c>
      <c r="T173" s="37">
        <v>0</v>
      </c>
      <c r="U173" t="s">
        <v>146</v>
      </c>
      <c r="V173" t="s">
        <v>147</v>
      </c>
      <c r="W173" s="37" t="s">
        <v>257</v>
      </c>
      <c r="X173" t="s">
        <v>149</v>
      </c>
      <c r="Y173">
        <v>0</v>
      </c>
    </row>
    <row r="174" spans="1:25" x14ac:dyDescent="0.25">
      <c r="A174" t="s">
        <v>161</v>
      </c>
      <c r="B174">
        <v>2111</v>
      </c>
      <c r="C174">
        <v>2</v>
      </c>
      <c r="D174" t="s">
        <v>144</v>
      </c>
      <c r="E174" t="s">
        <v>162</v>
      </c>
      <c r="F174" s="16">
        <f t="shared" si="69"/>
        <v>910</v>
      </c>
      <c r="G174" s="17">
        <f t="shared" si="70"/>
        <v>7.8</v>
      </c>
      <c r="H174" s="15">
        <f>H173</f>
        <v>1</v>
      </c>
      <c r="I174" s="24">
        <f t="shared" si="71"/>
        <v>10.4</v>
      </c>
      <c r="J174">
        <v>0</v>
      </c>
      <c r="K174" s="37">
        <f t="shared" si="72"/>
        <v>4</v>
      </c>
      <c r="L174" s="37">
        <f t="shared" si="73"/>
        <v>1</v>
      </c>
      <c r="M174">
        <v>0</v>
      </c>
      <c r="N174" s="35">
        <f t="shared" ref="N174:N182" si="74">ROUND(GetValue($C174,$C$164,$K$165,$L$165,$M$165),-1)</f>
        <v>0</v>
      </c>
      <c r="O174" s="10">
        <f t="shared" ref="O174:O182" si="75">ROUND(GetValue($C174,$C$164,$K$166,$L$166,$M$166),-1)</f>
        <v>140</v>
      </c>
      <c r="P174" s="10">
        <f t="shared" ref="P174:P182" si="76">ROUND(GetValue($C174,$C$164,$K$167,$L$167,$M$167),-1)</f>
        <v>180</v>
      </c>
      <c r="Q174" s="10">
        <f t="shared" ref="Q174:Q182" si="77">ROUND(GetValue($C174,$C$164,$K$168,$L$168,$M$168),-1)</f>
        <v>0</v>
      </c>
      <c r="R174" s="10">
        <f t="shared" ref="R174:R182" si="78">ROUND(GetValue($C174,$C$164,$K$169,$L$169,$M$169),-1)</f>
        <v>0</v>
      </c>
      <c r="S174" s="36">
        <v>6320</v>
      </c>
      <c r="T174" s="37">
        <v>0</v>
      </c>
      <c r="U174" t="s">
        <v>146</v>
      </c>
      <c r="V174" t="s">
        <v>147</v>
      </c>
      <c r="W174" s="37" t="s">
        <v>257</v>
      </c>
      <c r="X174" t="s">
        <v>149</v>
      </c>
      <c r="Y174">
        <v>0</v>
      </c>
    </row>
    <row r="175" spans="1:25" x14ac:dyDescent="0.25">
      <c r="A175" t="s">
        <v>161</v>
      </c>
      <c r="B175">
        <v>2111</v>
      </c>
      <c r="C175">
        <v>3</v>
      </c>
      <c r="D175" t="s">
        <v>144</v>
      </c>
      <c r="E175" t="s">
        <v>162</v>
      </c>
      <c r="F175" s="16">
        <f t="shared" si="69"/>
        <v>1085</v>
      </c>
      <c r="G175" s="17">
        <f t="shared" si="70"/>
        <v>9.2999999999999989</v>
      </c>
      <c r="H175" s="15">
        <f t="shared" ref="H175:H182" si="79">H174</f>
        <v>1</v>
      </c>
      <c r="I175" s="24">
        <f t="shared" si="71"/>
        <v>12.4</v>
      </c>
      <c r="J175">
        <v>0</v>
      </c>
      <c r="K175" s="37">
        <f t="shared" si="72"/>
        <v>4</v>
      </c>
      <c r="L175" s="37">
        <f t="shared" si="73"/>
        <v>1</v>
      </c>
      <c r="M175">
        <v>0</v>
      </c>
      <c r="N175" s="35">
        <f t="shared" si="74"/>
        <v>0</v>
      </c>
      <c r="O175" s="10">
        <f t="shared" si="75"/>
        <v>250</v>
      </c>
      <c r="P175" s="10">
        <f t="shared" si="76"/>
        <v>310</v>
      </c>
      <c r="Q175" s="10">
        <f t="shared" si="77"/>
        <v>0</v>
      </c>
      <c r="R175" s="10">
        <f t="shared" si="78"/>
        <v>0</v>
      </c>
      <c r="S175" s="36">
        <f t="shared" ref="S175:S182" si="80">ROUND(GetValue($C175,$C$164,$K$170,$L$170,$M$170),-1)</f>
        <v>11160</v>
      </c>
      <c r="T175" s="37">
        <v>0</v>
      </c>
      <c r="U175" t="s">
        <v>146</v>
      </c>
      <c r="V175" t="s">
        <v>147</v>
      </c>
      <c r="W175" s="37" t="s">
        <v>257</v>
      </c>
      <c r="X175" t="s">
        <v>149</v>
      </c>
      <c r="Y175">
        <v>0</v>
      </c>
    </row>
    <row r="176" spans="1:25" x14ac:dyDescent="0.25">
      <c r="A176" t="s">
        <v>161</v>
      </c>
      <c r="B176">
        <v>2111</v>
      </c>
      <c r="C176">
        <v>4</v>
      </c>
      <c r="D176" t="s">
        <v>144</v>
      </c>
      <c r="E176" t="s">
        <v>162</v>
      </c>
      <c r="F176" s="16">
        <f t="shared" si="69"/>
        <v>1295</v>
      </c>
      <c r="G176" s="17">
        <f t="shared" si="70"/>
        <v>11.1</v>
      </c>
      <c r="H176" s="15">
        <f t="shared" si="79"/>
        <v>1</v>
      </c>
      <c r="I176" s="24">
        <f t="shared" si="71"/>
        <v>14.8</v>
      </c>
      <c r="J176">
        <v>0</v>
      </c>
      <c r="K176" s="37">
        <f t="shared" si="72"/>
        <v>4</v>
      </c>
      <c r="L176" s="37">
        <f t="shared" si="73"/>
        <v>1</v>
      </c>
      <c r="M176">
        <v>0</v>
      </c>
      <c r="N176" s="35">
        <f t="shared" si="74"/>
        <v>0</v>
      </c>
      <c r="O176" s="10">
        <f t="shared" si="75"/>
        <v>390</v>
      </c>
      <c r="P176" s="10">
        <f t="shared" si="76"/>
        <v>490</v>
      </c>
      <c r="Q176" s="10">
        <f t="shared" si="77"/>
        <v>0</v>
      </c>
      <c r="R176" s="10">
        <f t="shared" si="78"/>
        <v>0</v>
      </c>
      <c r="S176" s="36">
        <f t="shared" si="80"/>
        <v>14630</v>
      </c>
      <c r="T176" s="37">
        <v>0</v>
      </c>
      <c r="U176" t="s">
        <v>146</v>
      </c>
      <c r="V176" t="s">
        <v>147</v>
      </c>
      <c r="W176" s="37" t="s">
        <v>257</v>
      </c>
      <c r="X176" t="s">
        <v>149</v>
      </c>
      <c r="Y176">
        <v>0</v>
      </c>
    </row>
    <row r="177" spans="1:25" x14ac:dyDescent="0.25">
      <c r="A177" t="s">
        <v>161</v>
      </c>
      <c r="B177">
        <v>2111</v>
      </c>
      <c r="C177">
        <v>5</v>
      </c>
      <c r="D177" t="s">
        <v>144</v>
      </c>
      <c r="E177" t="s">
        <v>162</v>
      </c>
      <c r="F177" s="16">
        <f t="shared" si="69"/>
        <v>1470</v>
      </c>
      <c r="G177" s="17">
        <f t="shared" si="70"/>
        <v>12.6</v>
      </c>
      <c r="H177" s="15">
        <f t="shared" si="79"/>
        <v>1</v>
      </c>
      <c r="I177" s="24">
        <f t="shared" si="71"/>
        <v>16.8</v>
      </c>
      <c r="J177">
        <v>0</v>
      </c>
      <c r="K177" s="37">
        <f t="shared" si="72"/>
        <v>4</v>
      </c>
      <c r="L177" s="37">
        <f t="shared" si="73"/>
        <v>1</v>
      </c>
      <c r="M177">
        <v>0</v>
      </c>
      <c r="N177" s="35">
        <f t="shared" si="74"/>
        <v>0</v>
      </c>
      <c r="O177" s="10">
        <f t="shared" si="75"/>
        <v>570</v>
      </c>
      <c r="P177" s="10">
        <f t="shared" si="76"/>
        <v>720</v>
      </c>
      <c r="Q177" s="10">
        <f t="shared" si="77"/>
        <v>0</v>
      </c>
      <c r="R177" s="10">
        <f t="shared" si="78"/>
        <v>0</v>
      </c>
      <c r="S177" s="36">
        <f t="shared" si="80"/>
        <v>18860</v>
      </c>
      <c r="T177" s="37">
        <v>0</v>
      </c>
      <c r="U177" t="s">
        <v>146</v>
      </c>
      <c r="V177" t="s">
        <v>147</v>
      </c>
      <c r="W177" s="37" t="s">
        <v>257</v>
      </c>
      <c r="X177" t="s">
        <v>149</v>
      </c>
      <c r="Y177">
        <v>0</v>
      </c>
    </row>
    <row r="178" spans="1:25" x14ac:dyDescent="0.25">
      <c r="A178" t="s">
        <v>161</v>
      </c>
      <c r="B178">
        <v>2111</v>
      </c>
      <c r="C178">
        <v>6</v>
      </c>
      <c r="D178" t="s">
        <v>144</v>
      </c>
      <c r="E178" t="s">
        <v>162</v>
      </c>
      <c r="F178" s="16">
        <f t="shared" si="69"/>
        <v>1680</v>
      </c>
      <c r="G178" s="17">
        <f t="shared" si="70"/>
        <v>14.399999999999999</v>
      </c>
      <c r="H178" s="15">
        <f t="shared" si="79"/>
        <v>1</v>
      </c>
      <c r="I178" s="24">
        <f t="shared" si="71"/>
        <v>19.200000000000003</v>
      </c>
      <c r="J178">
        <v>0</v>
      </c>
      <c r="K178" s="37">
        <f t="shared" si="72"/>
        <v>4</v>
      </c>
      <c r="L178" s="37">
        <f t="shared" si="73"/>
        <v>1</v>
      </c>
      <c r="M178">
        <v>0</v>
      </c>
      <c r="N178" s="35">
        <f t="shared" si="74"/>
        <v>260</v>
      </c>
      <c r="O178" s="10">
        <f t="shared" si="75"/>
        <v>800</v>
      </c>
      <c r="P178" s="10">
        <f t="shared" si="76"/>
        <v>1010</v>
      </c>
      <c r="Q178" s="10">
        <f t="shared" si="77"/>
        <v>0</v>
      </c>
      <c r="R178" s="10">
        <f t="shared" si="78"/>
        <v>0</v>
      </c>
      <c r="S178" s="36">
        <f t="shared" si="80"/>
        <v>24040</v>
      </c>
      <c r="T178" s="37">
        <v>0</v>
      </c>
      <c r="U178" t="s">
        <v>146</v>
      </c>
      <c r="V178" t="s">
        <v>147</v>
      </c>
      <c r="W178" s="37" t="s">
        <v>257</v>
      </c>
      <c r="X178" t="s">
        <v>149</v>
      </c>
      <c r="Y178">
        <v>0</v>
      </c>
    </row>
    <row r="179" spans="1:25" x14ac:dyDescent="0.25">
      <c r="A179" t="s">
        <v>161</v>
      </c>
      <c r="B179">
        <v>2111</v>
      </c>
      <c r="C179">
        <v>7</v>
      </c>
      <c r="D179" t="s">
        <v>144</v>
      </c>
      <c r="E179" t="s">
        <v>162</v>
      </c>
      <c r="F179" s="16">
        <f t="shared" si="69"/>
        <v>1925</v>
      </c>
      <c r="G179" s="17">
        <f t="shared" si="70"/>
        <v>16.5</v>
      </c>
      <c r="H179" s="15">
        <f t="shared" si="79"/>
        <v>1</v>
      </c>
      <c r="I179" s="24">
        <f t="shared" si="71"/>
        <v>22</v>
      </c>
      <c r="J179">
        <v>0</v>
      </c>
      <c r="K179" s="37">
        <f t="shared" si="72"/>
        <v>4</v>
      </c>
      <c r="L179" s="37">
        <f t="shared" si="73"/>
        <v>1</v>
      </c>
      <c r="M179">
        <v>0</v>
      </c>
      <c r="N179" s="35">
        <f t="shared" si="74"/>
        <v>540</v>
      </c>
      <c r="O179" s="10">
        <f t="shared" si="75"/>
        <v>1090</v>
      </c>
      <c r="P179" s="10">
        <f t="shared" si="76"/>
        <v>1380</v>
      </c>
      <c r="Q179" s="10">
        <f t="shared" si="77"/>
        <v>0</v>
      </c>
      <c r="R179" s="10">
        <f t="shared" si="78"/>
        <v>0</v>
      </c>
      <c r="S179" s="36">
        <f t="shared" si="80"/>
        <v>30350</v>
      </c>
      <c r="T179" s="37">
        <v>0</v>
      </c>
      <c r="U179" t="s">
        <v>146</v>
      </c>
      <c r="V179" t="s">
        <v>147</v>
      </c>
      <c r="W179" s="37" t="s">
        <v>257</v>
      </c>
      <c r="X179" t="s">
        <v>149</v>
      </c>
      <c r="Y179">
        <v>0</v>
      </c>
    </row>
    <row r="180" spans="1:25" x14ac:dyDescent="0.25">
      <c r="A180" t="s">
        <v>161</v>
      </c>
      <c r="B180">
        <v>2111</v>
      </c>
      <c r="C180">
        <v>8</v>
      </c>
      <c r="D180" t="s">
        <v>144</v>
      </c>
      <c r="E180" t="s">
        <v>162</v>
      </c>
      <c r="F180" s="16">
        <f t="shared" si="69"/>
        <v>2170</v>
      </c>
      <c r="G180" s="17">
        <f t="shared" si="70"/>
        <v>18.599999999999998</v>
      </c>
      <c r="H180" s="15">
        <f t="shared" si="79"/>
        <v>1</v>
      </c>
      <c r="I180" s="24">
        <f t="shared" si="71"/>
        <v>24.8</v>
      </c>
      <c r="J180">
        <v>0</v>
      </c>
      <c r="K180" s="37">
        <f t="shared" si="72"/>
        <v>4</v>
      </c>
      <c r="L180" s="37">
        <f t="shared" si="73"/>
        <v>1</v>
      </c>
      <c r="M180">
        <v>0</v>
      </c>
      <c r="N180" s="35">
        <f t="shared" si="74"/>
        <v>850</v>
      </c>
      <c r="O180" s="10">
        <f t="shared" si="75"/>
        <v>1470</v>
      </c>
      <c r="P180" s="10">
        <f t="shared" si="76"/>
        <v>1860</v>
      </c>
      <c r="Q180" s="10">
        <f t="shared" si="77"/>
        <v>0</v>
      </c>
      <c r="R180" s="10">
        <f t="shared" si="78"/>
        <v>0</v>
      </c>
      <c r="S180" s="36">
        <f t="shared" si="80"/>
        <v>38070</v>
      </c>
      <c r="T180" s="37">
        <v>0</v>
      </c>
      <c r="U180" t="s">
        <v>146</v>
      </c>
      <c r="V180" t="s">
        <v>147</v>
      </c>
      <c r="W180" s="37" t="s">
        <v>257</v>
      </c>
      <c r="X180" t="s">
        <v>149</v>
      </c>
      <c r="Y180">
        <v>0</v>
      </c>
    </row>
    <row r="181" spans="1:25" x14ac:dyDescent="0.25">
      <c r="A181" t="s">
        <v>161</v>
      </c>
      <c r="B181">
        <v>2111</v>
      </c>
      <c r="C181">
        <v>9</v>
      </c>
      <c r="D181" t="s">
        <v>144</v>
      </c>
      <c r="E181" t="s">
        <v>162</v>
      </c>
      <c r="F181" s="16">
        <f t="shared" si="69"/>
        <v>2450</v>
      </c>
      <c r="G181" s="17">
        <f t="shared" si="70"/>
        <v>21</v>
      </c>
      <c r="H181" s="15">
        <f t="shared" si="79"/>
        <v>1</v>
      </c>
      <c r="I181" s="24">
        <f t="shared" si="71"/>
        <v>28</v>
      </c>
      <c r="J181">
        <v>0</v>
      </c>
      <c r="K181" s="37">
        <f t="shared" si="72"/>
        <v>4</v>
      </c>
      <c r="L181" s="37">
        <f t="shared" si="73"/>
        <v>1</v>
      </c>
      <c r="M181">
        <v>0</v>
      </c>
      <c r="N181" s="35">
        <f t="shared" si="74"/>
        <v>1190</v>
      </c>
      <c r="O181" s="10">
        <f t="shared" si="75"/>
        <v>1950</v>
      </c>
      <c r="P181" s="10">
        <f t="shared" si="76"/>
        <v>2470</v>
      </c>
      <c r="Q181" s="10">
        <f t="shared" si="77"/>
        <v>0</v>
      </c>
      <c r="R181" s="10">
        <f t="shared" si="78"/>
        <v>0</v>
      </c>
      <c r="S181" s="36">
        <f t="shared" si="80"/>
        <v>47490</v>
      </c>
      <c r="T181" s="37">
        <v>0</v>
      </c>
      <c r="U181" t="s">
        <v>146</v>
      </c>
      <c r="V181" t="s">
        <v>147</v>
      </c>
      <c r="W181" s="37" t="s">
        <v>257</v>
      </c>
      <c r="X181" t="s">
        <v>149</v>
      </c>
      <c r="Y181">
        <v>0</v>
      </c>
    </row>
    <row r="182" spans="1:25" x14ac:dyDescent="0.25">
      <c r="A182" t="s">
        <v>161</v>
      </c>
      <c r="B182">
        <v>2111</v>
      </c>
      <c r="C182">
        <v>10</v>
      </c>
      <c r="D182" t="s">
        <v>144</v>
      </c>
      <c r="E182" t="s">
        <v>162</v>
      </c>
      <c r="F182" s="16">
        <f t="shared" si="69"/>
        <v>2765</v>
      </c>
      <c r="G182" s="17">
        <f t="shared" si="70"/>
        <v>23.7</v>
      </c>
      <c r="H182" s="15">
        <f t="shared" si="79"/>
        <v>1</v>
      </c>
      <c r="I182" s="24">
        <f t="shared" si="71"/>
        <v>31.6</v>
      </c>
      <c r="J182">
        <v>0</v>
      </c>
      <c r="K182" s="37">
        <f t="shared" si="72"/>
        <v>4</v>
      </c>
      <c r="L182" s="37">
        <f t="shared" si="73"/>
        <v>1</v>
      </c>
      <c r="M182">
        <v>0</v>
      </c>
      <c r="N182" s="35">
        <f t="shared" si="74"/>
        <v>1570</v>
      </c>
      <c r="O182" s="10">
        <f t="shared" si="75"/>
        <v>2570</v>
      </c>
      <c r="P182" s="10">
        <f t="shared" si="76"/>
        <v>3260</v>
      </c>
      <c r="Q182" s="10">
        <f t="shared" si="77"/>
        <v>0</v>
      </c>
      <c r="R182" s="10">
        <f t="shared" si="78"/>
        <v>0</v>
      </c>
      <c r="S182" s="36">
        <f t="shared" si="80"/>
        <v>59000</v>
      </c>
      <c r="T182" s="37">
        <v>0</v>
      </c>
      <c r="U182" t="s">
        <v>146</v>
      </c>
      <c r="V182" t="s">
        <v>147</v>
      </c>
      <c r="W182" s="37" t="s">
        <v>257</v>
      </c>
      <c r="X182" t="s">
        <v>149</v>
      </c>
      <c r="Y182">
        <v>0</v>
      </c>
    </row>
    <row r="183" spans="1:25" x14ac:dyDescent="0.25">
      <c r="G183" s="15"/>
      <c r="H183" s="15"/>
    </row>
    <row r="184" spans="1:25" x14ac:dyDescent="0.25">
      <c r="A184" t="s">
        <v>203</v>
      </c>
      <c r="B184" s="15" t="s">
        <v>201</v>
      </c>
      <c r="C184">
        <v>15</v>
      </c>
      <c r="G184" s="15"/>
      <c r="H184" s="15"/>
      <c r="K184" s="7" t="s">
        <v>1</v>
      </c>
      <c r="L184" s="8" t="s">
        <v>2</v>
      </c>
      <c r="M184" s="8" t="s">
        <v>194</v>
      </c>
      <c r="N184" s="33" t="s">
        <v>204</v>
      </c>
      <c r="O184" s="12" t="s">
        <v>205</v>
      </c>
    </row>
    <row r="185" spans="1:25" x14ac:dyDescent="0.25">
      <c r="A185" t="s">
        <v>203</v>
      </c>
      <c r="B185" t="s">
        <v>202</v>
      </c>
      <c r="C185">
        <v>2</v>
      </c>
      <c r="G185" s="15"/>
      <c r="H185" s="15" t="s">
        <v>132</v>
      </c>
      <c r="K185">
        <v>0.2</v>
      </c>
      <c r="L185">
        <v>-7</v>
      </c>
      <c r="M185">
        <v>8000</v>
      </c>
    </row>
    <row r="186" spans="1:25" x14ac:dyDescent="0.25">
      <c r="A186" t="s">
        <v>203</v>
      </c>
      <c r="B186" t="s">
        <v>128</v>
      </c>
      <c r="C186" t="s">
        <v>207</v>
      </c>
      <c r="G186" s="15"/>
      <c r="H186" s="15" t="s">
        <v>133</v>
      </c>
      <c r="K186">
        <v>0.2</v>
      </c>
      <c r="L186">
        <v>180</v>
      </c>
      <c r="M186">
        <v>10000</v>
      </c>
    </row>
    <row r="187" spans="1:25" x14ac:dyDescent="0.25">
      <c r="A187" t="s">
        <v>203</v>
      </c>
      <c r="G187" s="15"/>
      <c r="H187" s="15" t="s">
        <v>198</v>
      </c>
      <c r="K187">
        <v>0.23</v>
      </c>
      <c r="L187">
        <v>120</v>
      </c>
      <c r="M187">
        <v>15000</v>
      </c>
    </row>
    <row r="188" spans="1:25" x14ac:dyDescent="0.25">
      <c r="A188" t="s">
        <v>203</v>
      </c>
      <c r="G188" s="15"/>
      <c r="H188" s="15" t="s">
        <v>135</v>
      </c>
      <c r="K188">
        <v>0.2</v>
      </c>
      <c r="L188">
        <v>-10</v>
      </c>
      <c r="M188">
        <v>3000</v>
      </c>
    </row>
    <row r="189" spans="1:25" x14ac:dyDescent="0.25">
      <c r="A189" t="s">
        <v>203</v>
      </c>
      <c r="G189" s="15"/>
      <c r="H189" s="15" t="s">
        <v>136</v>
      </c>
      <c r="K189">
        <v>0</v>
      </c>
      <c r="L189">
        <v>0</v>
      </c>
      <c r="M189">
        <v>0</v>
      </c>
    </row>
    <row r="190" spans="1:25" x14ac:dyDescent="0.25">
      <c r="A190" t="s">
        <v>203</v>
      </c>
      <c r="G190" s="15"/>
      <c r="H190" s="15" t="s">
        <v>69</v>
      </c>
      <c r="K190">
        <v>0.26</v>
      </c>
      <c r="L190">
        <v>2700</v>
      </c>
      <c r="M190">
        <v>135000</v>
      </c>
      <c r="N190" s="34" t="str">
        <f>TEXT(L190/86400,CHOOSE(MATCH(L190,{0,60,3600},1),":ss","m:ss","[h]:mm:ss"))</f>
        <v>45:00</v>
      </c>
      <c r="O190" s="11" t="str">
        <f>TEXT(M190/86400,CHOOSE(MATCH(M190,{0,60,3600},1),":ss","m:ss","[h]:mm:ss"))</f>
        <v>37:30:00</v>
      </c>
    </row>
    <row r="191" spans="1:25" x14ac:dyDescent="0.25">
      <c r="G191" s="15"/>
      <c r="H191" s="15"/>
      <c r="K191" s="15"/>
      <c r="L191" s="15"/>
      <c r="M191" s="15"/>
    </row>
    <row r="192" spans="1:25" x14ac:dyDescent="0.25">
      <c r="G192" s="15"/>
      <c r="H192" s="15"/>
      <c r="K192" s="15"/>
      <c r="L192" s="15"/>
      <c r="M192" s="15"/>
    </row>
    <row r="193" spans="1:25" x14ac:dyDescent="0.25">
      <c r="A193" t="s">
        <v>163</v>
      </c>
      <c r="B193">
        <v>2201</v>
      </c>
      <c r="C193">
        <v>0</v>
      </c>
      <c r="D193" t="s">
        <v>144</v>
      </c>
      <c r="E193" t="s">
        <v>145</v>
      </c>
      <c r="F193" s="16">
        <v>500</v>
      </c>
      <c r="G193" s="15">
        <v>0</v>
      </c>
      <c r="H193" s="15">
        <v>0</v>
      </c>
      <c r="I193" s="24">
        <v>0</v>
      </c>
      <c r="J193">
        <v>0</v>
      </c>
      <c r="K193">
        <v>0</v>
      </c>
      <c r="L193">
        <v>0</v>
      </c>
      <c r="M193">
        <v>0</v>
      </c>
      <c r="N193" s="16">
        <v>0</v>
      </c>
      <c r="O193">
        <v>0</v>
      </c>
      <c r="P193">
        <v>0</v>
      </c>
      <c r="Q193">
        <v>0</v>
      </c>
      <c r="R193">
        <v>0</v>
      </c>
      <c r="S193" s="21">
        <v>0</v>
      </c>
      <c r="T193">
        <v>0</v>
      </c>
      <c r="U193" t="s">
        <v>146</v>
      </c>
      <c r="V193" t="s">
        <v>147</v>
      </c>
      <c r="W193" s="37" t="s">
        <v>257</v>
      </c>
      <c r="X193" t="s">
        <v>149</v>
      </c>
      <c r="Y193">
        <v>0</v>
      </c>
    </row>
    <row r="194" spans="1:25" x14ac:dyDescent="0.25">
      <c r="A194" t="s">
        <v>163</v>
      </c>
      <c r="B194">
        <v>2201</v>
      </c>
      <c r="C194">
        <v>1</v>
      </c>
      <c r="D194" t="s">
        <v>144</v>
      </c>
      <c r="E194" t="s">
        <v>164</v>
      </c>
      <c r="F194" s="16">
        <f t="shared" ref="F194:F208" si="81">VLOOKUP($C$186,$C$4:$M$9,4,FALSE)*(LOOKUP($C$185,$B$13:$B$28,$C$13:$C$28)+LOOKUP($C194,$B$13:$B$28,$D$13:$D$28))</f>
        <v>1150</v>
      </c>
      <c r="G194" s="17">
        <f t="shared" ref="G194:G208" si="82">VLOOKUP($C$186,$C$4:$M$9,5,FALSE)*(LOOKUP($C$185,$B$13:$B$28,$C$13:$C$28)+LOOKUP($C194,$B$13:$B$28,$D$13:$D$28))</f>
        <v>13.799999999999999</v>
      </c>
      <c r="H194" s="15">
        <v>1</v>
      </c>
      <c r="I194" s="24">
        <f t="shared" ref="I194:I208" si="83">VLOOKUP($C$186,$C$4:$M$9,7,FALSE)*(LOOKUP($C$185,$B$13:$B$28,$C$13:$C$28)+LOOKUP($C194,$B$13:$B$28,$D$13:$D$28))</f>
        <v>9.2000000000000011</v>
      </c>
      <c r="J194">
        <v>0</v>
      </c>
      <c r="K194">
        <f t="shared" ref="K194:K208" si="84">VLOOKUP($C$186,$C$4:$M$9,9,FALSE)</f>
        <v>4</v>
      </c>
      <c r="L194">
        <f t="shared" ref="L194:L208" si="85">VLOOKUP($C$186,$C$4:$M$9,10,FALSE)</f>
        <v>1</v>
      </c>
      <c r="M194">
        <v>0</v>
      </c>
      <c r="N194" s="35">
        <f>ROUND(GetValue($C194,$C$184,$K$185,$L$185,$M$185),-1)</f>
        <v>0</v>
      </c>
      <c r="O194" s="10">
        <f>ROUND(GetValue($C194,$C$184,$K$186,$L$186,$M$186),-1)</f>
        <v>180</v>
      </c>
      <c r="P194" s="10">
        <f>ROUND(GetValue($C194,$C$184,$K$187,$L$187,$M$187),-1)</f>
        <v>120</v>
      </c>
      <c r="Q194" s="10">
        <f>ROUND(GetValue($C194,$C$184,$K$188,$L$188,$M$188),-1)</f>
        <v>0</v>
      </c>
      <c r="R194" s="10">
        <f>ROUND(GetValue($C194,$C$184,$K$189,$L$189,$M$189),-1)</f>
        <v>0</v>
      </c>
      <c r="S194" s="36">
        <v>25</v>
      </c>
      <c r="T194" s="37">
        <v>0</v>
      </c>
      <c r="U194" t="s">
        <v>146</v>
      </c>
      <c r="V194" t="s">
        <v>147</v>
      </c>
      <c r="W194" s="37" t="s">
        <v>257</v>
      </c>
      <c r="X194" t="s">
        <v>149</v>
      </c>
      <c r="Y194">
        <v>0</v>
      </c>
    </row>
    <row r="195" spans="1:25" x14ac:dyDescent="0.25">
      <c r="A195" t="s">
        <v>163</v>
      </c>
      <c r="B195">
        <v>2201</v>
      </c>
      <c r="C195">
        <v>2</v>
      </c>
      <c r="D195" t="s">
        <v>144</v>
      </c>
      <c r="E195" t="s">
        <v>164</v>
      </c>
      <c r="F195" s="16">
        <f t="shared" si="81"/>
        <v>1300</v>
      </c>
      <c r="G195" s="17">
        <f t="shared" si="82"/>
        <v>15.6</v>
      </c>
      <c r="H195" s="15">
        <v>1</v>
      </c>
      <c r="I195" s="24">
        <f t="shared" si="83"/>
        <v>10.4</v>
      </c>
      <c r="J195">
        <v>0</v>
      </c>
      <c r="K195" s="37">
        <f t="shared" si="84"/>
        <v>4</v>
      </c>
      <c r="L195" s="37">
        <f t="shared" si="85"/>
        <v>1</v>
      </c>
      <c r="M195">
        <v>0</v>
      </c>
      <c r="N195" s="35">
        <f t="shared" ref="N195:N208" si="86">ROUND(GetValue($C195,$C$184,$K$185,$L$185,$M$185),-1)</f>
        <v>0</v>
      </c>
      <c r="O195" s="10">
        <f t="shared" ref="O195:O208" si="87">ROUND(GetValue($C195,$C$184,$K$186,$L$186,$M$186),-1)</f>
        <v>320</v>
      </c>
      <c r="P195" s="10">
        <f t="shared" ref="P195:P208" si="88">ROUND(GetValue($C195,$C$184,$K$187,$L$187,$M$187),-1)</f>
        <v>280</v>
      </c>
      <c r="Q195" s="10">
        <f t="shared" ref="Q195:Q208" si="89">ROUND(GetValue($C195,$C$184,$K$188,$L$188,$M$188),-1)</f>
        <v>0</v>
      </c>
      <c r="R195" s="10">
        <f t="shared" ref="R195:R208" si="90">ROUND(GetValue($C195,$C$184,$K$189,$L$189,$M$189),-1)</f>
        <v>0</v>
      </c>
      <c r="S195" s="36">
        <v>2770</v>
      </c>
      <c r="T195" s="37">
        <v>0</v>
      </c>
      <c r="U195" t="s">
        <v>146</v>
      </c>
      <c r="V195" t="s">
        <v>147</v>
      </c>
      <c r="W195" s="37" t="s">
        <v>257</v>
      </c>
      <c r="X195" t="s">
        <v>149</v>
      </c>
      <c r="Y195">
        <v>0</v>
      </c>
    </row>
    <row r="196" spans="1:25" x14ac:dyDescent="0.25">
      <c r="A196" t="s">
        <v>163</v>
      </c>
      <c r="B196">
        <v>2201</v>
      </c>
      <c r="C196">
        <v>3</v>
      </c>
      <c r="D196" t="s">
        <v>144</v>
      </c>
      <c r="E196" t="s">
        <v>164</v>
      </c>
      <c r="F196" s="16">
        <f t="shared" si="81"/>
        <v>1550</v>
      </c>
      <c r="G196" s="17">
        <f t="shared" si="82"/>
        <v>18.599999999999998</v>
      </c>
      <c r="H196" s="15">
        <v>1</v>
      </c>
      <c r="I196" s="24">
        <f t="shared" si="83"/>
        <v>12.4</v>
      </c>
      <c r="J196">
        <v>0</v>
      </c>
      <c r="K196" s="37">
        <f t="shared" si="84"/>
        <v>4</v>
      </c>
      <c r="L196" s="37">
        <f t="shared" si="85"/>
        <v>1</v>
      </c>
      <c r="M196">
        <v>0</v>
      </c>
      <c r="N196" s="35">
        <f t="shared" si="86"/>
        <v>0</v>
      </c>
      <c r="O196" s="10">
        <f t="shared" si="87"/>
        <v>480</v>
      </c>
      <c r="P196" s="10">
        <f t="shared" si="88"/>
        <v>470</v>
      </c>
      <c r="Q196" s="10">
        <f t="shared" si="89"/>
        <v>0</v>
      </c>
      <c r="R196" s="10">
        <f t="shared" si="90"/>
        <v>0</v>
      </c>
      <c r="S196" s="36">
        <f t="shared" ref="S196:S208" si="91">ROUND(GetValue($C196,$C$184,$K$190,$L$190,$M$190),-1)</f>
        <v>5170</v>
      </c>
      <c r="T196" s="37">
        <v>0</v>
      </c>
      <c r="U196" t="s">
        <v>146</v>
      </c>
      <c r="V196" t="s">
        <v>147</v>
      </c>
      <c r="W196" s="37" t="s">
        <v>257</v>
      </c>
      <c r="X196" t="s">
        <v>149</v>
      </c>
      <c r="Y196">
        <v>0</v>
      </c>
    </row>
    <row r="197" spans="1:25" x14ac:dyDescent="0.25">
      <c r="A197" t="s">
        <v>163</v>
      </c>
      <c r="B197">
        <v>2201</v>
      </c>
      <c r="C197">
        <v>4</v>
      </c>
      <c r="D197" t="s">
        <v>144</v>
      </c>
      <c r="E197" t="s">
        <v>164</v>
      </c>
      <c r="F197" s="16">
        <f t="shared" si="81"/>
        <v>1850</v>
      </c>
      <c r="G197" s="17">
        <f t="shared" si="82"/>
        <v>22.2</v>
      </c>
      <c r="H197" s="15">
        <v>1</v>
      </c>
      <c r="I197" s="24">
        <f t="shared" si="83"/>
        <v>14.8</v>
      </c>
      <c r="J197">
        <v>0</v>
      </c>
      <c r="K197" s="37">
        <f t="shared" si="84"/>
        <v>4</v>
      </c>
      <c r="L197" s="37">
        <f t="shared" si="85"/>
        <v>1</v>
      </c>
      <c r="M197">
        <v>0</v>
      </c>
      <c r="N197" s="35">
        <f t="shared" si="86"/>
        <v>0</v>
      </c>
      <c r="O197" s="10">
        <f t="shared" si="87"/>
        <v>690</v>
      </c>
      <c r="P197" s="10">
        <f t="shared" si="88"/>
        <v>720</v>
      </c>
      <c r="Q197" s="10">
        <f t="shared" si="89"/>
        <v>0</v>
      </c>
      <c r="R197" s="10">
        <f t="shared" si="90"/>
        <v>0</v>
      </c>
      <c r="S197" s="36">
        <f t="shared" si="91"/>
        <v>6970</v>
      </c>
      <c r="T197" s="37">
        <v>0</v>
      </c>
      <c r="U197" t="s">
        <v>146</v>
      </c>
      <c r="V197" t="s">
        <v>147</v>
      </c>
      <c r="W197" s="37" t="s">
        <v>257</v>
      </c>
      <c r="X197" t="s">
        <v>149</v>
      </c>
      <c r="Y197">
        <v>0</v>
      </c>
    </row>
    <row r="198" spans="1:25" x14ac:dyDescent="0.25">
      <c r="A198" t="s">
        <v>163</v>
      </c>
      <c r="B198">
        <v>2201</v>
      </c>
      <c r="C198">
        <v>5</v>
      </c>
      <c r="D198" t="s">
        <v>144</v>
      </c>
      <c r="E198" t="s">
        <v>164</v>
      </c>
      <c r="F198" s="16">
        <f t="shared" si="81"/>
        <v>2100</v>
      </c>
      <c r="G198" s="17">
        <f t="shared" si="82"/>
        <v>25.2</v>
      </c>
      <c r="H198" s="15">
        <v>2</v>
      </c>
      <c r="I198" s="24">
        <f t="shared" si="83"/>
        <v>16.8</v>
      </c>
      <c r="J198">
        <v>0</v>
      </c>
      <c r="K198" s="37">
        <f t="shared" si="84"/>
        <v>4</v>
      </c>
      <c r="L198" s="37">
        <f t="shared" si="85"/>
        <v>1</v>
      </c>
      <c r="M198">
        <v>0</v>
      </c>
      <c r="N198" s="35">
        <f t="shared" si="86"/>
        <v>0</v>
      </c>
      <c r="O198" s="10">
        <f t="shared" si="87"/>
        <v>940</v>
      </c>
      <c r="P198" s="10">
        <f t="shared" si="88"/>
        <v>1030</v>
      </c>
      <c r="Q198" s="10">
        <f t="shared" si="89"/>
        <v>0</v>
      </c>
      <c r="R198" s="10">
        <f t="shared" si="90"/>
        <v>0</v>
      </c>
      <c r="S198" s="36">
        <f t="shared" si="91"/>
        <v>9310</v>
      </c>
      <c r="T198" s="37">
        <v>0</v>
      </c>
      <c r="U198" t="s">
        <v>146</v>
      </c>
      <c r="V198" t="s">
        <v>147</v>
      </c>
      <c r="W198" s="37" t="s">
        <v>257</v>
      </c>
      <c r="X198" t="s">
        <v>149</v>
      </c>
      <c r="Y198">
        <v>0</v>
      </c>
    </row>
    <row r="199" spans="1:25" x14ac:dyDescent="0.25">
      <c r="A199" t="s">
        <v>163</v>
      </c>
      <c r="B199">
        <v>2201</v>
      </c>
      <c r="C199">
        <v>6</v>
      </c>
      <c r="D199" t="s">
        <v>144</v>
      </c>
      <c r="E199" t="s">
        <v>164</v>
      </c>
      <c r="F199" s="16">
        <f t="shared" si="81"/>
        <v>2400</v>
      </c>
      <c r="G199" s="17">
        <f t="shared" si="82"/>
        <v>28.799999999999997</v>
      </c>
      <c r="H199" s="15">
        <f t="shared" ref="H199:H208" si="92">H198</f>
        <v>2</v>
      </c>
      <c r="I199" s="24">
        <f t="shared" si="83"/>
        <v>19.200000000000003</v>
      </c>
      <c r="J199">
        <v>0</v>
      </c>
      <c r="K199" s="37">
        <f t="shared" si="84"/>
        <v>4</v>
      </c>
      <c r="L199" s="37">
        <f t="shared" si="85"/>
        <v>1</v>
      </c>
      <c r="M199">
        <v>0</v>
      </c>
      <c r="N199" s="35">
        <f t="shared" si="86"/>
        <v>0</v>
      </c>
      <c r="O199" s="10">
        <f t="shared" si="87"/>
        <v>1240</v>
      </c>
      <c r="P199" s="10">
        <f t="shared" si="88"/>
        <v>1420</v>
      </c>
      <c r="Q199" s="10">
        <f t="shared" si="89"/>
        <v>0</v>
      </c>
      <c r="R199" s="10">
        <f t="shared" si="90"/>
        <v>0</v>
      </c>
      <c r="S199" s="36">
        <f t="shared" si="91"/>
        <v>12350</v>
      </c>
      <c r="T199" s="37">
        <v>0</v>
      </c>
      <c r="U199" t="s">
        <v>146</v>
      </c>
      <c r="V199" t="s">
        <v>147</v>
      </c>
      <c r="W199" s="37" t="s">
        <v>257</v>
      </c>
      <c r="X199" t="s">
        <v>149</v>
      </c>
      <c r="Y199">
        <v>0</v>
      </c>
    </row>
    <row r="200" spans="1:25" x14ac:dyDescent="0.25">
      <c r="A200" t="s">
        <v>163</v>
      </c>
      <c r="B200">
        <v>2201</v>
      </c>
      <c r="C200">
        <v>7</v>
      </c>
      <c r="D200" t="s">
        <v>144</v>
      </c>
      <c r="E200" t="s">
        <v>164</v>
      </c>
      <c r="F200" s="16">
        <f t="shared" si="81"/>
        <v>2750</v>
      </c>
      <c r="G200" s="17">
        <f t="shared" si="82"/>
        <v>33</v>
      </c>
      <c r="H200" s="15">
        <f t="shared" si="92"/>
        <v>2</v>
      </c>
      <c r="I200" s="24">
        <f t="shared" si="83"/>
        <v>22</v>
      </c>
      <c r="J200">
        <v>0</v>
      </c>
      <c r="K200" s="37">
        <f t="shared" si="84"/>
        <v>4</v>
      </c>
      <c r="L200" s="37">
        <f t="shared" si="85"/>
        <v>1</v>
      </c>
      <c r="M200">
        <v>0</v>
      </c>
      <c r="N200" s="35">
        <f t="shared" si="86"/>
        <v>0</v>
      </c>
      <c r="O200" s="10">
        <f t="shared" si="87"/>
        <v>1620</v>
      </c>
      <c r="P200" s="10">
        <f t="shared" si="88"/>
        <v>1920</v>
      </c>
      <c r="Q200" s="10">
        <f t="shared" si="89"/>
        <v>0</v>
      </c>
      <c r="R200" s="10">
        <f t="shared" si="90"/>
        <v>0</v>
      </c>
      <c r="S200" s="36">
        <f t="shared" si="91"/>
        <v>16290</v>
      </c>
      <c r="T200" s="37">
        <v>0</v>
      </c>
      <c r="U200" t="s">
        <v>146</v>
      </c>
      <c r="V200" t="s">
        <v>147</v>
      </c>
      <c r="W200" s="37" t="s">
        <v>257</v>
      </c>
      <c r="X200" t="s">
        <v>149</v>
      </c>
      <c r="Y200">
        <v>0</v>
      </c>
    </row>
    <row r="201" spans="1:25" x14ac:dyDescent="0.25">
      <c r="A201" t="s">
        <v>163</v>
      </c>
      <c r="B201">
        <v>2201</v>
      </c>
      <c r="C201">
        <v>8</v>
      </c>
      <c r="D201" t="s">
        <v>144</v>
      </c>
      <c r="E201" t="s">
        <v>164</v>
      </c>
      <c r="F201" s="16">
        <f t="shared" si="81"/>
        <v>3100</v>
      </c>
      <c r="G201" s="17">
        <f t="shared" si="82"/>
        <v>37.199999999999996</v>
      </c>
      <c r="H201" s="15">
        <f t="shared" si="92"/>
        <v>2</v>
      </c>
      <c r="I201" s="24">
        <f t="shared" si="83"/>
        <v>24.8</v>
      </c>
      <c r="J201">
        <v>0</v>
      </c>
      <c r="K201" s="37">
        <f t="shared" si="84"/>
        <v>4</v>
      </c>
      <c r="L201" s="37">
        <f t="shared" si="85"/>
        <v>1</v>
      </c>
      <c r="M201">
        <v>0</v>
      </c>
      <c r="N201" s="35">
        <f t="shared" si="86"/>
        <v>360</v>
      </c>
      <c r="O201" s="10">
        <f t="shared" si="87"/>
        <v>2070</v>
      </c>
      <c r="P201" s="10">
        <f t="shared" si="88"/>
        <v>2540</v>
      </c>
      <c r="Q201" s="10">
        <f t="shared" si="89"/>
        <v>0</v>
      </c>
      <c r="R201" s="10">
        <f t="shared" si="90"/>
        <v>0</v>
      </c>
      <c r="S201" s="36">
        <f t="shared" si="91"/>
        <v>21400</v>
      </c>
      <c r="T201" s="37">
        <v>0</v>
      </c>
      <c r="U201" t="s">
        <v>146</v>
      </c>
      <c r="V201" t="s">
        <v>147</v>
      </c>
      <c r="W201" s="37" t="s">
        <v>257</v>
      </c>
      <c r="X201" t="s">
        <v>149</v>
      </c>
      <c r="Y201">
        <v>0</v>
      </c>
    </row>
    <row r="202" spans="1:25" x14ac:dyDescent="0.25">
      <c r="A202" t="s">
        <v>163</v>
      </c>
      <c r="B202">
        <v>2201</v>
      </c>
      <c r="C202">
        <v>9</v>
      </c>
      <c r="D202" t="s">
        <v>144</v>
      </c>
      <c r="E202" t="s">
        <v>164</v>
      </c>
      <c r="F202" s="16">
        <f t="shared" si="81"/>
        <v>3500</v>
      </c>
      <c r="G202" s="17">
        <f t="shared" si="82"/>
        <v>42</v>
      </c>
      <c r="H202" s="15">
        <f t="shared" si="92"/>
        <v>2</v>
      </c>
      <c r="I202" s="24">
        <f t="shared" si="83"/>
        <v>28</v>
      </c>
      <c r="J202">
        <v>0</v>
      </c>
      <c r="K202" s="37">
        <f t="shared" si="84"/>
        <v>4</v>
      </c>
      <c r="L202" s="37">
        <f t="shared" si="85"/>
        <v>1</v>
      </c>
      <c r="M202">
        <v>0</v>
      </c>
      <c r="N202" s="35">
        <f t="shared" si="86"/>
        <v>790</v>
      </c>
      <c r="O202" s="10">
        <f t="shared" si="87"/>
        <v>2630</v>
      </c>
      <c r="P202" s="10">
        <f t="shared" si="88"/>
        <v>3320</v>
      </c>
      <c r="Q202" s="10">
        <f t="shared" si="89"/>
        <v>0</v>
      </c>
      <c r="R202" s="10">
        <f t="shared" si="90"/>
        <v>0</v>
      </c>
      <c r="S202" s="36">
        <f t="shared" si="91"/>
        <v>28020</v>
      </c>
      <c r="T202" s="37">
        <v>0</v>
      </c>
      <c r="U202" t="s">
        <v>146</v>
      </c>
      <c r="V202" t="s">
        <v>147</v>
      </c>
      <c r="W202" s="37" t="s">
        <v>257</v>
      </c>
      <c r="X202" t="s">
        <v>149</v>
      </c>
      <c r="Y202">
        <v>0</v>
      </c>
    </row>
    <row r="203" spans="1:25" x14ac:dyDescent="0.25">
      <c r="A203" t="s">
        <v>163</v>
      </c>
      <c r="B203">
        <v>2201</v>
      </c>
      <c r="C203">
        <v>10</v>
      </c>
      <c r="D203" t="s">
        <v>144</v>
      </c>
      <c r="E203" t="s">
        <v>164</v>
      </c>
      <c r="F203" s="16">
        <f t="shared" si="81"/>
        <v>3950</v>
      </c>
      <c r="G203" s="17">
        <f t="shared" si="82"/>
        <v>47.4</v>
      </c>
      <c r="H203" s="15">
        <f t="shared" si="92"/>
        <v>2</v>
      </c>
      <c r="I203" s="24">
        <f t="shared" si="83"/>
        <v>31.6</v>
      </c>
      <c r="J203">
        <v>0</v>
      </c>
      <c r="K203" s="37">
        <f t="shared" si="84"/>
        <v>4</v>
      </c>
      <c r="L203" s="37">
        <f t="shared" si="85"/>
        <v>1</v>
      </c>
      <c r="M203">
        <v>0</v>
      </c>
      <c r="N203" s="35">
        <f t="shared" si="86"/>
        <v>1330</v>
      </c>
      <c r="O203" s="10">
        <f t="shared" si="87"/>
        <v>3310</v>
      </c>
      <c r="P203" s="10">
        <f t="shared" si="88"/>
        <v>4300</v>
      </c>
      <c r="Q203" s="10">
        <f t="shared" si="89"/>
        <v>0</v>
      </c>
      <c r="R203" s="10">
        <f t="shared" si="90"/>
        <v>0</v>
      </c>
      <c r="S203" s="36">
        <f t="shared" si="91"/>
        <v>36610</v>
      </c>
      <c r="T203" s="37">
        <v>0</v>
      </c>
      <c r="U203" t="s">
        <v>146</v>
      </c>
      <c r="V203" t="s">
        <v>147</v>
      </c>
      <c r="W203" s="37" t="s">
        <v>257</v>
      </c>
      <c r="X203" t="s">
        <v>149</v>
      </c>
      <c r="Y203">
        <v>0</v>
      </c>
    </row>
    <row r="204" spans="1:25" x14ac:dyDescent="0.25">
      <c r="A204" t="s">
        <v>163</v>
      </c>
      <c r="B204">
        <v>2201</v>
      </c>
      <c r="C204">
        <v>11</v>
      </c>
      <c r="D204" t="s">
        <v>144</v>
      </c>
      <c r="E204" t="s">
        <v>164</v>
      </c>
      <c r="F204" s="16">
        <f t="shared" si="81"/>
        <v>4400</v>
      </c>
      <c r="G204" s="17">
        <f t="shared" si="82"/>
        <v>52.8</v>
      </c>
      <c r="H204" s="15">
        <f t="shared" si="92"/>
        <v>2</v>
      </c>
      <c r="I204" s="24">
        <f t="shared" si="83"/>
        <v>35.200000000000003</v>
      </c>
      <c r="J204">
        <v>0</v>
      </c>
      <c r="K204" s="37">
        <f t="shared" si="84"/>
        <v>4</v>
      </c>
      <c r="L204" s="37">
        <f t="shared" si="85"/>
        <v>1</v>
      </c>
      <c r="M204">
        <v>0</v>
      </c>
      <c r="N204" s="35">
        <f t="shared" si="86"/>
        <v>1980</v>
      </c>
      <c r="O204" s="10">
        <f t="shared" si="87"/>
        <v>4140</v>
      </c>
      <c r="P204" s="10">
        <f t="shared" si="88"/>
        <v>5540</v>
      </c>
      <c r="Q204" s="10">
        <f t="shared" si="89"/>
        <v>240</v>
      </c>
      <c r="R204" s="10">
        <f t="shared" si="90"/>
        <v>0</v>
      </c>
      <c r="S204" s="36">
        <f t="shared" si="91"/>
        <v>47760</v>
      </c>
      <c r="T204" s="37">
        <v>0</v>
      </c>
      <c r="U204" t="s">
        <v>146</v>
      </c>
      <c r="V204" t="s">
        <v>147</v>
      </c>
      <c r="W204" s="37" t="s">
        <v>257</v>
      </c>
      <c r="X204" t="s">
        <v>149</v>
      </c>
      <c r="Y204">
        <v>0</v>
      </c>
    </row>
    <row r="205" spans="1:25" x14ac:dyDescent="0.25">
      <c r="A205" t="s">
        <v>163</v>
      </c>
      <c r="B205">
        <v>2201</v>
      </c>
      <c r="C205">
        <v>12</v>
      </c>
      <c r="D205" t="s">
        <v>144</v>
      </c>
      <c r="E205" t="s">
        <v>164</v>
      </c>
      <c r="F205" s="16">
        <f t="shared" si="81"/>
        <v>4900</v>
      </c>
      <c r="G205" s="17">
        <f t="shared" si="82"/>
        <v>58.8</v>
      </c>
      <c r="H205" s="15">
        <f t="shared" si="92"/>
        <v>2</v>
      </c>
      <c r="I205" s="24">
        <f t="shared" si="83"/>
        <v>39.200000000000003</v>
      </c>
      <c r="J205">
        <v>0</v>
      </c>
      <c r="K205" s="37">
        <f t="shared" si="84"/>
        <v>4</v>
      </c>
      <c r="L205" s="37">
        <f t="shared" si="85"/>
        <v>1</v>
      </c>
      <c r="M205">
        <v>0</v>
      </c>
      <c r="N205" s="35">
        <f t="shared" si="86"/>
        <v>2780</v>
      </c>
      <c r="O205" s="10">
        <f t="shared" si="87"/>
        <v>5150</v>
      </c>
      <c r="P205" s="10">
        <f t="shared" si="88"/>
        <v>7100</v>
      </c>
      <c r="Q205" s="10">
        <f t="shared" si="89"/>
        <v>540</v>
      </c>
      <c r="R205" s="10">
        <f t="shared" si="90"/>
        <v>0</v>
      </c>
      <c r="S205" s="36">
        <f t="shared" si="91"/>
        <v>62210</v>
      </c>
      <c r="T205" s="37">
        <v>0</v>
      </c>
      <c r="U205" t="s">
        <v>146</v>
      </c>
      <c r="V205" t="s">
        <v>147</v>
      </c>
      <c r="W205" s="37" t="s">
        <v>257</v>
      </c>
      <c r="X205" t="s">
        <v>149</v>
      </c>
      <c r="Y205">
        <v>0</v>
      </c>
    </row>
    <row r="206" spans="1:25" x14ac:dyDescent="0.25">
      <c r="A206" t="s">
        <v>163</v>
      </c>
      <c r="B206">
        <v>2201</v>
      </c>
      <c r="C206">
        <v>13</v>
      </c>
      <c r="D206" t="s">
        <v>144</v>
      </c>
      <c r="E206" t="s">
        <v>164</v>
      </c>
      <c r="F206" s="16">
        <f t="shared" si="81"/>
        <v>5450</v>
      </c>
      <c r="G206" s="17">
        <f t="shared" si="82"/>
        <v>65.399999999999991</v>
      </c>
      <c r="H206" s="15">
        <f t="shared" si="92"/>
        <v>2</v>
      </c>
      <c r="I206" s="24">
        <f t="shared" si="83"/>
        <v>43.6</v>
      </c>
      <c r="J206">
        <v>0</v>
      </c>
      <c r="K206" s="37">
        <f t="shared" si="84"/>
        <v>4</v>
      </c>
      <c r="L206" s="37">
        <f t="shared" si="85"/>
        <v>1</v>
      </c>
      <c r="M206">
        <v>0</v>
      </c>
      <c r="N206" s="35">
        <f t="shared" si="86"/>
        <v>3750</v>
      </c>
      <c r="O206" s="10">
        <f t="shared" si="87"/>
        <v>6380</v>
      </c>
      <c r="P206" s="10">
        <f t="shared" si="88"/>
        <v>9060</v>
      </c>
      <c r="Q206" s="10">
        <f t="shared" si="89"/>
        <v>910</v>
      </c>
      <c r="R206" s="10">
        <f t="shared" si="90"/>
        <v>0</v>
      </c>
      <c r="S206" s="36">
        <f t="shared" si="91"/>
        <v>80950</v>
      </c>
      <c r="T206" s="37">
        <v>0</v>
      </c>
      <c r="U206" t="s">
        <v>146</v>
      </c>
      <c r="V206" t="s">
        <v>147</v>
      </c>
      <c r="W206" s="37" t="s">
        <v>257</v>
      </c>
      <c r="X206" t="s">
        <v>149</v>
      </c>
      <c r="Y206">
        <v>0</v>
      </c>
    </row>
    <row r="207" spans="1:25" x14ac:dyDescent="0.25">
      <c r="A207" t="s">
        <v>163</v>
      </c>
      <c r="B207">
        <v>2201</v>
      </c>
      <c r="C207">
        <v>14</v>
      </c>
      <c r="D207" t="s">
        <v>144</v>
      </c>
      <c r="E207" t="s">
        <v>164</v>
      </c>
      <c r="F207" s="16">
        <f t="shared" si="81"/>
        <v>6000</v>
      </c>
      <c r="G207" s="17">
        <f t="shared" si="82"/>
        <v>72</v>
      </c>
      <c r="H207" s="15">
        <f t="shared" si="92"/>
        <v>2</v>
      </c>
      <c r="I207" s="24">
        <f t="shared" si="83"/>
        <v>48</v>
      </c>
      <c r="J207">
        <v>0</v>
      </c>
      <c r="K207" s="37">
        <f t="shared" si="84"/>
        <v>4</v>
      </c>
      <c r="L207" s="37">
        <f t="shared" si="85"/>
        <v>1</v>
      </c>
      <c r="M207">
        <v>0</v>
      </c>
      <c r="N207" s="35">
        <f t="shared" si="86"/>
        <v>4930</v>
      </c>
      <c r="O207" s="10">
        <f t="shared" si="87"/>
        <v>7900</v>
      </c>
      <c r="P207" s="10">
        <f t="shared" si="88"/>
        <v>11530</v>
      </c>
      <c r="Q207" s="10">
        <f t="shared" si="89"/>
        <v>1350</v>
      </c>
      <c r="R207" s="10">
        <f t="shared" si="90"/>
        <v>0</v>
      </c>
      <c r="S207" s="36">
        <f t="shared" si="91"/>
        <v>105260</v>
      </c>
      <c r="T207" s="37">
        <v>0</v>
      </c>
      <c r="U207" t="s">
        <v>146</v>
      </c>
      <c r="V207" t="s">
        <v>147</v>
      </c>
      <c r="W207" s="37" t="s">
        <v>257</v>
      </c>
      <c r="X207" t="s">
        <v>149</v>
      </c>
      <c r="Y207">
        <v>0</v>
      </c>
    </row>
    <row r="208" spans="1:25" x14ac:dyDescent="0.25">
      <c r="A208" t="s">
        <v>163</v>
      </c>
      <c r="B208">
        <v>2201</v>
      </c>
      <c r="C208">
        <v>15</v>
      </c>
      <c r="D208" t="s">
        <v>144</v>
      </c>
      <c r="E208" t="s">
        <v>164</v>
      </c>
      <c r="F208" s="16">
        <f t="shared" si="81"/>
        <v>6650</v>
      </c>
      <c r="G208" s="17">
        <f t="shared" si="82"/>
        <v>79.8</v>
      </c>
      <c r="H208" s="15">
        <f t="shared" si="92"/>
        <v>2</v>
      </c>
      <c r="I208" s="24">
        <f t="shared" si="83"/>
        <v>53.2</v>
      </c>
      <c r="J208">
        <v>0</v>
      </c>
      <c r="K208" s="37">
        <f t="shared" si="84"/>
        <v>4</v>
      </c>
      <c r="L208" s="37">
        <f t="shared" si="85"/>
        <v>1</v>
      </c>
      <c r="M208">
        <v>0</v>
      </c>
      <c r="N208" s="35">
        <f t="shared" si="86"/>
        <v>6380</v>
      </c>
      <c r="O208" s="10">
        <f t="shared" si="87"/>
        <v>9740</v>
      </c>
      <c r="P208" s="10">
        <f t="shared" si="88"/>
        <v>14640</v>
      </c>
      <c r="Q208" s="10">
        <f t="shared" si="89"/>
        <v>1900</v>
      </c>
      <c r="R208" s="10">
        <f t="shared" si="90"/>
        <v>0</v>
      </c>
      <c r="S208" s="36">
        <f t="shared" si="91"/>
        <v>136790</v>
      </c>
      <c r="T208" s="37">
        <v>0</v>
      </c>
      <c r="U208" t="s">
        <v>146</v>
      </c>
      <c r="V208" t="s">
        <v>147</v>
      </c>
      <c r="W208" s="37" t="s">
        <v>257</v>
      </c>
      <c r="X208" t="s">
        <v>149</v>
      </c>
      <c r="Y208">
        <v>0</v>
      </c>
    </row>
    <row r="209" spans="1:25" x14ac:dyDescent="0.25">
      <c r="G209" s="15"/>
      <c r="H209" s="15"/>
    </row>
    <row r="210" spans="1:25" x14ac:dyDescent="0.25">
      <c r="A210" t="s">
        <v>203</v>
      </c>
      <c r="B210" s="15" t="s">
        <v>201</v>
      </c>
      <c r="C210">
        <v>15</v>
      </c>
      <c r="G210" s="15"/>
      <c r="H210" s="15"/>
      <c r="K210" s="7" t="s">
        <v>1</v>
      </c>
      <c r="L210" s="8" t="s">
        <v>2</v>
      </c>
      <c r="M210" s="8" t="s">
        <v>194</v>
      </c>
      <c r="N210" s="33" t="s">
        <v>204</v>
      </c>
      <c r="O210" s="12" t="s">
        <v>205</v>
      </c>
    </row>
    <row r="211" spans="1:25" x14ac:dyDescent="0.25">
      <c r="A211" t="s">
        <v>203</v>
      </c>
      <c r="B211" t="s">
        <v>202</v>
      </c>
      <c r="C211">
        <v>3</v>
      </c>
      <c r="G211" s="15"/>
      <c r="H211" s="15" t="s">
        <v>132</v>
      </c>
      <c r="K211">
        <v>0.2</v>
      </c>
      <c r="L211">
        <v>-7</v>
      </c>
      <c r="M211">
        <v>8000</v>
      </c>
    </row>
    <row r="212" spans="1:25" x14ac:dyDescent="0.25">
      <c r="A212" t="s">
        <v>203</v>
      </c>
      <c r="B212" t="s">
        <v>128</v>
      </c>
      <c r="C212" t="s">
        <v>207</v>
      </c>
      <c r="G212" s="15"/>
      <c r="H212" s="15" t="s">
        <v>133</v>
      </c>
      <c r="K212">
        <v>0.2</v>
      </c>
      <c r="L212">
        <v>180</v>
      </c>
      <c r="M212">
        <v>10000</v>
      </c>
    </row>
    <row r="213" spans="1:25" x14ac:dyDescent="0.25">
      <c r="A213" t="s">
        <v>203</v>
      </c>
      <c r="G213" s="15"/>
      <c r="H213" s="15" t="s">
        <v>198</v>
      </c>
      <c r="K213">
        <v>0.23</v>
      </c>
      <c r="L213">
        <v>120</v>
      </c>
      <c r="M213">
        <v>15000</v>
      </c>
    </row>
    <row r="214" spans="1:25" x14ac:dyDescent="0.25">
      <c r="A214" t="s">
        <v>203</v>
      </c>
      <c r="G214" s="15"/>
      <c r="H214" s="15" t="s">
        <v>135</v>
      </c>
      <c r="K214">
        <v>0.2</v>
      </c>
      <c r="L214">
        <v>-10</v>
      </c>
      <c r="M214">
        <v>3000</v>
      </c>
    </row>
    <row r="215" spans="1:25" x14ac:dyDescent="0.25">
      <c r="A215" t="s">
        <v>203</v>
      </c>
      <c r="G215" s="15"/>
      <c r="H215" s="15" t="s">
        <v>136</v>
      </c>
      <c r="K215">
        <v>0</v>
      </c>
      <c r="L215">
        <v>0</v>
      </c>
      <c r="M215">
        <v>0</v>
      </c>
    </row>
    <row r="216" spans="1:25" x14ac:dyDescent="0.25">
      <c r="A216" t="s">
        <v>203</v>
      </c>
      <c r="G216" s="15"/>
      <c r="H216" s="15" t="s">
        <v>69</v>
      </c>
      <c r="K216">
        <v>0.23</v>
      </c>
      <c r="L216" s="37">
        <v>2700</v>
      </c>
      <c r="M216" s="37">
        <v>135000</v>
      </c>
      <c r="N216" s="34" t="str">
        <f>TEXT(L216/86400,CHOOSE(MATCH(L216,{0,60,3600},1),":ss","m:ss","[h]:mm:ss"))</f>
        <v>45:00</v>
      </c>
      <c r="O216" s="11" t="str">
        <f>TEXT(M216/86400,CHOOSE(MATCH(M216,{0,60,3600},1),":ss","m:ss","[h]:mm:ss"))</f>
        <v>37:30:00</v>
      </c>
    </row>
    <row r="217" spans="1:25" x14ac:dyDescent="0.25">
      <c r="G217" s="15"/>
      <c r="H217" s="15"/>
      <c r="K217" s="15"/>
      <c r="L217" s="15"/>
      <c r="M217" s="15"/>
    </row>
    <row r="218" spans="1:25" x14ac:dyDescent="0.25">
      <c r="G218" s="15"/>
      <c r="H218" s="15"/>
      <c r="K218" s="15"/>
      <c r="L218" s="15"/>
      <c r="M218" s="15"/>
    </row>
    <row r="219" spans="1:25" x14ac:dyDescent="0.25">
      <c r="A219" t="s">
        <v>165</v>
      </c>
      <c r="B219">
        <v>2204</v>
      </c>
      <c r="C219">
        <v>0</v>
      </c>
      <c r="D219" t="s">
        <v>144</v>
      </c>
      <c r="E219" t="s">
        <v>145</v>
      </c>
      <c r="F219" s="16">
        <v>500</v>
      </c>
      <c r="G219" s="15">
        <v>0</v>
      </c>
      <c r="H219" s="15">
        <v>0</v>
      </c>
      <c r="I219" s="24">
        <v>0</v>
      </c>
      <c r="J219">
        <v>0</v>
      </c>
      <c r="K219">
        <v>0</v>
      </c>
      <c r="L219">
        <v>0</v>
      </c>
      <c r="M219">
        <v>0</v>
      </c>
      <c r="N219" s="16">
        <v>0</v>
      </c>
      <c r="O219">
        <v>0</v>
      </c>
      <c r="P219">
        <v>0</v>
      </c>
      <c r="Q219">
        <v>0</v>
      </c>
      <c r="R219">
        <v>0</v>
      </c>
      <c r="S219" s="21">
        <v>0</v>
      </c>
      <c r="T219">
        <v>0</v>
      </c>
      <c r="U219" t="s">
        <v>146</v>
      </c>
      <c r="V219" t="s">
        <v>147</v>
      </c>
      <c r="W219" s="37" t="s">
        <v>257</v>
      </c>
      <c r="X219" t="s">
        <v>149</v>
      </c>
      <c r="Y219">
        <v>0</v>
      </c>
    </row>
    <row r="220" spans="1:25" x14ac:dyDescent="0.25">
      <c r="A220" t="s">
        <v>165</v>
      </c>
      <c r="B220">
        <v>2204</v>
      </c>
      <c r="C220">
        <v>1</v>
      </c>
      <c r="D220" t="s">
        <v>144</v>
      </c>
      <c r="E220" t="s">
        <v>166</v>
      </c>
      <c r="F220" s="16">
        <f t="shared" ref="F220:F234" si="93">VLOOKUP($C$212,$C$4:$M$9,4,FALSE)*(LOOKUP($C$211,$B$13:$B$28,$C$13:$C$28)+LOOKUP($C220,$B$13:$B$28,$D$13:$D$28))</f>
        <v>1400</v>
      </c>
      <c r="G220" s="17">
        <f t="shared" ref="G220:G234" si="94">VLOOKUP($C$212,$C$4:$M$9,5,FALSE)*(LOOKUP($C$211,$B$13:$B$28,$C$13:$C$28)+LOOKUP($C220,$B$13:$B$28,$D$13:$D$28))</f>
        <v>16.8</v>
      </c>
      <c r="H220" s="15">
        <f>VLOOKUP($C$212,$C$4:$M$9,6,FALSE)</f>
        <v>2</v>
      </c>
      <c r="I220" s="24">
        <f t="shared" ref="I220:I234" si="95">VLOOKUP($C$212,$C$4:$M$9,7,FALSE)*(LOOKUP($C$211,$B$13:$B$28,$C$13:$C$28)+LOOKUP($C220,$B$13:$B$28,$D$13:$D$28))</f>
        <v>11.200000000000001</v>
      </c>
      <c r="J220">
        <v>0</v>
      </c>
      <c r="K220">
        <f t="shared" ref="K220:K234" si="96">VLOOKUP($C$212,$C$4:$M$9,9,FALSE)</f>
        <v>4</v>
      </c>
      <c r="L220">
        <f t="shared" ref="L220:L234" si="97">VLOOKUP($C$212,$C$4:$M$9,10,FALSE)</f>
        <v>1</v>
      </c>
      <c r="M220">
        <v>0</v>
      </c>
      <c r="N220" s="35">
        <f>ROUND(GetValue($C220,$C$210,$K$211,$L$211,$M$211),-1)</f>
        <v>0</v>
      </c>
      <c r="O220" s="10">
        <f>ROUND(GetValue($C220,$C$210,$K$212,$L$212,$M$212),-1)</f>
        <v>180</v>
      </c>
      <c r="P220" s="10">
        <f>ROUND(GetValue($C220,$C$210,$K$213,$L$213,$M$213),-1)</f>
        <v>120</v>
      </c>
      <c r="Q220" s="10">
        <f>ROUND(GetValue($C220,$C$210,$K$214,$L$214,$M$214),-1)</f>
        <v>0</v>
      </c>
      <c r="R220" s="10">
        <f>ROUND(GetValue($C220,$C$210,$K$215,$L$215,$M$215),-1)</f>
        <v>0</v>
      </c>
      <c r="S220" s="36">
        <f>ROUND(GetValue($C220,$C$210,$K$216,$L$216,$M$216),-1)</f>
        <v>2700</v>
      </c>
      <c r="T220" s="37">
        <v>0</v>
      </c>
      <c r="U220" t="s">
        <v>146</v>
      </c>
      <c r="V220" t="s">
        <v>147</v>
      </c>
      <c r="W220" s="37" t="s">
        <v>257</v>
      </c>
      <c r="X220" t="s">
        <v>149</v>
      </c>
      <c r="Y220">
        <v>0</v>
      </c>
    </row>
    <row r="221" spans="1:25" x14ac:dyDescent="0.25">
      <c r="A221" t="s">
        <v>165</v>
      </c>
      <c r="B221">
        <v>2204</v>
      </c>
      <c r="C221">
        <v>2</v>
      </c>
      <c r="D221" t="s">
        <v>144</v>
      </c>
      <c r="E221" t="s">
        <v>166</v>
      </c>
      <c r="F221" s="16">
        <f t="shared" si="93"/>
        <v>1550</v>
      </c>
      <c r="G221" s="17">
        <f t="shared" si="94"/>
        <v>18.599999999999998</v>
      </c>
      <c r="H221" s="15">
        <f>H220</f>
        <v>2</v>
      </c>
      <c r="I221" s="24">
        <f t="shared" si="95"/>
        <v>12.4</v>
      </c>
      <c r="J221">
        <v>0</v>
      </c>
      <c r="K221" s="37">
        <f t="shared" si="96"/>
        <v>4</v>
      </c>
      <c r="L221" s="37">
        <f t="shared" si="97"/>
        <v>1</v>
      </c>
      <c r="M221">
        <v>0</v>
      </c>
      <c r="N221" s="35">
        <f t="shared" ref="N221:N234" si="98">ROUND(GetValue($C221,$C$210,$K$211,$L$211,$M$211),-1)</f>
        <v>0</v>
      </c>
      <c r="O221" s="10">
        <f t="shared" ref="O221:O234" si="99">ROUND(GetValue($C221,$C$210,$K$212,$L$212,$M$212),-1)</f>
        <v>320</v>
      </c>
      <c r="P221" s="10">
        <f t="shared" ref="P221:P234" si="100">ROUND(GetValue($C221,$C$210,$K$213,$L$213,$M$213),-1)</f>
        <v>280</v>
      </c>
      <c r="Q221" s="10">
        <f t="shared" ref="Q221:Q234" si="101">ROUND(GetValue($C221,$C$210,$K$214,$L$214,$M$214),-1)</f>
        <v>0</v>
      </c>
      <c r="R221" s="10">
        <f t="shared" ref="R221:R234" si="102">ROUND(GetValue($C221,$C$210,$K$215,$L$215,$M$215),-1)</f>
        <v>0</v>
      </c>
      <c r="S221" s="36">
        <f t="shared" ref="S221:S234" si="103">ROUND(GetValue($C221,$C$210,$K$216,$L$216,$M$216),-1)</f>
        <v>4120</v>
      </c>
      <c r="T221" s="37">
        <v>0</v>
      </c>
      <c r="U221" t="s">
        <v>146</v>
      </c>
      <c r="V221" t="s">
        <v>147</v>
      </c>
      <c r="W221" s="37" t="s">
        <v>257</v>
      </c>
      <c r="X221" t="s">
        <v>149</v>
      </c>
      <c r="Y221">
        <v>0</v>
      </c>
    </row>
    <row r="222" spans="1:25" x14ac:dyDescent="0.25">
      <c r="A222" t="s">
        <v>165</v>
      </c>
      <c r="B222">
        <v>2204</v>
      </c>
      <c r="C222">
        <v>3</v>
      </c>
      <c r="D222" t="s">
        <v>144</v>
      </c>
      <c r="E222" t="s">
        <v>166</v>
      </c>
      <c r="F222" s="16">
        <f t="shared" si="93"/>
        <v>1800</v>
      </c>
      <c r="G222" s="17">
        <f t="shared" si="94"/>
        <v>21.599999999999998</v>
      </c>
      <c r="H222" s="15">
        <f t="shared" ref="H222:H234" si="104">H221</f>
        <v>2</v>
      </c>
      <c r="I222" s="24">
        <f t="shared" si="95"/>
        <v>14.4</v>
      </c>
      <c r="J222">
        <v>0</v>
      </c>
      <c r="K222" s="37">
        <f t="shared" si="96"/>
        <v>4</v>
      </c>
      <c r="L222" s="37">
        <f t="shared" si="97"/>
        <v>1</v>
      </c>
      <c r="M222">
        <v>0</v>
      </c>
      <c r="N222" s="35">
        <f t="shared" si="98"/>
        <v>0</v>
      </c>
      <c r="O222" s="10">
        <f t="shared" si="99"/>
        <v>480</v>
      </c>
      <c r="P222" s="10">
        <f t="shared" si="100"/>
        <v>470</v>
      </c>
      <c r="Q222" s="10">
        <f t="shared" si="101"/>
        <v>0</v>
      </c>
      <c r="R222" s="10">
        <f t="shared" si="102"/>
        <v>0</v>
      </c>
      <c r="S222" s="36">
        <f t="shared" si="103"/>
        <v>5910</v>
      </c>
      <c r="T222" s="37">
        <v>0</v>
      </c>
      <c r="U222" t="s">
        <v>146</v>
      </c>
      <c r="V222" t="s">
        <v>147</v>
      </c>
      <c r="W222" s="37" t="s">
        <v>257</v>
      </c>
      <c r="X222" t="s">
        <v>149</v>
      </c>
      <c r="Y222">
        <v>0</v>
      </c>
    </row>
    <row r="223" spans="1:25" x14ac:dyDescent="0.25">
      <c r="A223" t="s">
        <v>165</v>
      </c>
      <c r="B223">
        <v>2204</v>
      </c>
      <c r="C223">
        <v>4</v>
      </c>
      <c r="D223" t="s">
        <v>144</v>
      </c>
      <c r="E223" t="s">
        <v>166</v>
      </c>
      <c r="F223" s="16">
        <f t="shared" si="93"/>
        <v>2100</v>
      </c>
      <c r="G223" s="17">
        <f t="shared" si="94"/>
        <v>25.2</v>
      </c>
      <c r="H223" s="15">
        <f t="shared" si="104"/>
        <v>2</v>
      </c>
      <c r="I223" s="24">
        <f t="shared" si="95"/>
        <v>16.8</v>
      </c>
      <c r="J223">
        <v>0</v>
      </c>
      <c r="K223" s="37">
        <f t="shared" si="96"/>
        <v>4</v>
      </c>
      <c r="L223" s="37">
        <f t="shared" si="97"/>
        <v>1</v>
      </c>
      <c r="M223">
        <v>0</v>
      </c>
      <c r="N223" s="35">
        <f t="shared" si="98"/>
        <v>0</v>
      </c>
      <c r="O223" s="10">
        <f t="shared" si="99"/>
        <v>690</v>
      </c>
      <c r="P223" s="10">
        <f t="shared" si="100"/>
        <v>720</v>
      </c>
      <c r="Q223" s="10">
        <f t="shared" si="101"/>
        <v>0</v>
      </c>
      <c r="R223" s="10">
        <f t="shared" si="102"/>
        <v>0</v>
      </c>
      <c r="S223" s="36">
        <f t="shared" si="103"/>
        <v>8170</v>
      </c>
      <c r="T223" s="37">
        <v>0</v>
      </c>
      <c r="U223" t="s">
        <v>146</v>
      </c>
      <c r="V223" t="s">
        <v>147</v>
      </c>
      <c r="W223" s="37" t="s">
        <v>257</v>
      </c>
      <c r="X223" t="s">
        <v>149</v>
      </c>
      <c r="Y223">
        <v>0</v>
      </c>
    </row>
    <row r="224" spans="1:25" x14ac:dyDescent="0.25">
      <c r="A224" t="s">
        <v>165</v>
      </c>
      <c r="B224">
        <v>2204</v>
      </c>
      <c r="C224">
        <v>5</v>
      </c>
      <c r="D224" t="s">
        <v>144</v>
      </c>
      <c r="E224" t="s">
        <v>166</v>
      </c>
      <c r="F224" s="16">
        <f t="shared" si="93"/>
        <v>2350</v>
      </c>
      <c r="G224" s="17">
        <f t="shared" si="94"/>
        <v>28.2</v>
      </c>
      <c r="H224" s="15">
        <f t="shared" si="104"/>
        <v>2</v>
      </c>
      <c r="I224" s="24">
        <f t="shared" si="95"/>
        <v>18.8</v>
      </c>
      <c r="J224">
        <v>0</v>
      </c>
      <c r="K224" s="37">
        <f t="shared" si="96"/>
        <v>4</v>
      </c>
      <c r="L224" s="37">
        <f t="shared" si="97"/>
        <v>1</v>
      </c>
      <c r="M224">
        <v>0</v>
      </c>
      <c r="N224" s="35">
        <f t="shared" si="98"/>
        <v>0</v>
      </c>
      <c r="O224" s="10">
        <f t="shared" si="99"/>
        <v>940</v>
      </c>
      <c r="P224" s="10">
        <f t="shared" si="100"/>
        <v>1030</v>
      </c>
      <c r="Q224" s="10">
        <f t="shared" si="101"/>
        <v>0</v>
      </c>
      <c r="R224" s="10">
        <f t="shared" si="102"/>
        <v>0</v>
      </c>
      <c r="S224" s="36">
        <f t="shared" si="103"/>
        <v>11000</v>
      </c>
      <c r="T224" s="37">
        <v>0</v>
      </c>
      <c r="U224" t="s">
        <v>146</v>
      </c>
      <c r="V224" t="s">
        <v>147</v>
      </c>
      <c r="W224" s="37" t="s">
        <v>257</v>
      </c>
      <c r="X224" t="s">
        <v>149</v>
      </c>
      <c r="Y224">
        <v>0</v>
      </c>
    </row>
    <row r="225" spans="1:25" x14ac:dyDescent="0.25">
      <c r="A225" t="s">
        <v>165</v>
      </c>
      <c r="B225">
        <v>2204</v>
      </c>
      <c r="C225">
        <v>6</v>
      </c>
      <c r="D225" t="s">
        <v>144</v>
      </c>
      <c r="E225" t="s">
        <v>166</v>
      </c>
      <c r="F225" s="16">
        <f t="shared" si="93"/>
        <v>2650</v>
      </c>
      <c r="G225" s="17">
        <f t="shared" si="94"/>
        <v>31.799999999999997</v>
      </c>
      <c r="H225" s="15">
        <f t="shared" si="104"/>
        <v>2</v>
      </c>
      <c r="I225" s="24">
        <f t="shared" si="95"/>
        <v>21.200000000000003</v>
      </c>
      <c r="J225">
        <v>0</v>
      </c>
      <c r="K225" s="37">
        <f t="shared" si="96"/>
        <v>4</v>
      </c>
      <c r="L225" s="37">
        <f t="shared" si="97"/>
        <v>1</v>
      </c>
      <c r="M225">
        <v>0</v>
      </c>
      <c r="N225" s="35">
        <f t="shared" si="98"/>
        <v>0</v>
      </c>
      <c r="O225" s="10">
        <f t="shared" si="99"/>
        <v>1240</v>
      </c>
      <c r="P225" s="10">
        <f t="shared" si="100"/>
        <v>1420</v>
      </c>
      <c r="Q225" s="10">
        <f t="shared" si="101"/>
        <v>0</v>
      </c>
      <c r="R225" s="10">
        <f t="shared" si="102"/>
        <v>0</v>
      </c>
      <c r="S225" s="36">
        <f t="shared" si="103"/>
        <v>14570</v>
      </c>
      <c r="T225" s="37">
        <v>0</v>
      </c>
      <c r="U225" t="s">
        <v>146</v>
      </c>
      <c r="V225" t="s">
        <v>147</v>
      </c>
      <c r="W225" s="37" t="s">
        <v>257</v>
      </c>
      <c r="X225" t="s">
        <v>149</v>
      </c>
      <c r="Y225">
        <v>0</v>
      </c>
    </row>
    <row r="226" spans="1:25" x14ac:dyDescent="0.25">
      <c r="A226" t="s">
        <v>165</v>
      </c>
      <c r="B226">
        <v>2204</v>
      </c>
      <c r="C226">
        <v>7</v>
      </c>
      <c r="D226" t="s">
        <v>144</v>
      </c>
      <c r="E226" t="s">
        <v>166</v>
      </c>
      <c r="F226" s="16">
        <f t="shared" si="93"/>
        <v>3000</v>
      </c>
      <c r="G226" s="17">
        <f t="shared" si="94"/>
        <v>36</v>
      </c>
      <c r="H226" s="15">
        <f t="shared" si="104"/>
        <v>2</v>
      </c>
      <c r="I226" s="24">
        <f t="shared" si="95"/>
        <v>24</v>
      </c>
      <c r="J226">
        <v>0</v>
      </c>
      <c r="K226" s="37">
        <f t="shared" si="96"/>
        <v>4</v>
      </c>
      <c r="L226" s="37">
        <f t="shared" si="97"/>
        <v>1</v>
      </c>
      <c r="M226">
        <v>0</v>
      </c>
      <c r="N226" s="35">
        <f t="shared" si="98"/>
        <v>0</v>
      </c>
      <c r="O226" s="10">
        <f t="shared" si="99"/>
        <v>1620</v>
      </c>
      <c r="P226" s="10">
        <f t="shared" si="100"/>
        <v>1920</v>
      </c>
      <c r="Q226" s="10">
        <f t="shared" si="101"/>
        <v>0</v>
      </c>
      <c r="R226" s="10">
        <f t="shared" si="102"/>
        <v>0</v>
      </c>
      <c r="S226" s="36">
        <f t="shared" si="103"/>
        <v>19070</v>
      </c>
      <c r="T226" s="37">
        <v>0</v>
      </c>
      <c r="U226" t="s">
        <v>146</v>
      </c>
      <c r="V226" t="s">
        <v>147</v>
      </c>
      <c r="W226" s="37" t="s">
        <v>257</v>
      </c>
      <c r="X226" t="s">
        <v>149</v>
      </c>
      <c r="Y226">
        <v>0</v>
      </c>
    </row>
    <row r="227" spans="1:25" x14ac:dyDescent="0.25">
      <c r="A227" t="s">
        <v>165</v>
      </c>
      <c r="B227">
        <v>2204</v>
      </c>
      <c r="C227">
        <v>8</v>
      </c>
      <c r="D227" t="s">
        <v>144</v>
      </c>
      <c r="E227" t="s">
        <v>166</v>
      </c>
      <c r="F227" s="16">
        <f t="shared" si="93"/>
        <v>3350</v>
      </c>
      <c r="G227" s="17">
        <f t="shared" si="94"/>
        <v>40.199999999999996</v>
      </c>
      <c r="H227" s="15">
        <f t="shared" si="104"/>
        <v>2</v>
      </c>
      <c r="I227" s="24">
        <f t="shared" si="95"/>
        <v>26.8</v>
      </c>
      <c r="J227">
        <v>0</v>
      </c>
      <c r="K227" s="37">
        <f t="shared" si="96"/>
        <v>4</v>
      </c>
      <c r="L227" s="37">
        <f t="shared" si="97"/>
        <v>1</v>
      </c>
      <c r="M227">
        <v>0</v>
      </c>
      <c r="N227" s="35">
        <f t="shared" si="98"/>
        <v>360</v>
      </c>
      <c r="O227" s="10">
        <f t="shared" si="99"/>
        <v>2070</v>
      </c>
      <c r="P227" s="10">
        <f t="shared" si="100"/>
        <v>2540</v>
      </c>
      <c r="Q227" s="10">
        <f t="shared" si="101"/>
        <v>0</v>
      </c>
      <c r="R227" s="10">
        <f t="shared" si="102"/>
        <v>0</v>
      </c>
      <c r="S227" s="36">
        <f t="shared" si="103"/>
        <v>24720</v>
      </c>
      <c r="T227" s="37">
        <v>0</v>
      </c>
      <c r="U227" t="s">
        <v>146</v>
      </c>
      <c r="V227" t="s">
        <v>147</v>
      </c>
      <c r="W227" s="37" t="s">
        <v>257</v>
      </c>
      <c r="X227" t="s">
        <v>149</v>
      </c>
      <c r="Y227">
        <v>0</v>
      </c>
    </row>
    <row r="228" spans="1:25" x14ac:dyDescent="0.25">
      <c r="A228" t="s">
        <v>165</v>
      </c>
      <c r="B228">
        <v>2204</v>
      </c>
      <c r="C228">
        <v>9</v>
      </c>
      <c r="D228" t="s">
        <v>144</v>
      </c>
      <c r="E228" t="s">
        <v>166</v>
      </c>
      <c r="F228" s="16">
        <f t="shared" si="93"/>
        <v>3750</v>
      </c>
      <c r="G228" s="17">
        <f t="shared" si="94"/>
        <v>45</v>
      </c>
      <c r="H228" s="15">
        <f t="shared" si="104"/>
        <v>2</v>
      </c>
      <c r="I228" s="24">
        <f t="shared" si="95"/>
        <v>30</v>
      </c>
      <c r="J228">
        <v>0</v>
      </c>
      <c r="K228" s="37">
        <f t="shared" si="96"/>
        <v>4</v>
      </c>
      <c r="L228" s="37">
        <f t="shared" si="97"/>
        <v>1</v>
      </c>
      <c r="M228">
        <v>0</v>
      </c>
      <c r="N228" s="35">
        <f t="shared" si="98"/>
        <v>790</v>
      </c>
      <c r="O228" s="10">
        <f t="shared" si="99"/>
        <v>2630</v>
      </c>
      <c r="P228" s="10">
        <f t="shared" si="100"/>
        <v>3320</v>
      </c>
      <c r="Q228" s="10">
        <f t="shared" si="101"/>
        <v>0</v>
      </c>
      <c r="R228" s="10">
        <f t="shared" si="102"/>
        <v>0</v>
      </c>
      <c r="S228" s="36">
        <f t="shared" si="103"/>
        <v>31840</v>
      </c>
      <c r="T228" s="37">
        <v>0</v>
      </c>
      <c r="U228" t="s">
        <v>146</v>
      </c>
      <c r="V228" t="s">
        <v>147</v>
      </c>
      <c r="W228" s="37" t="s">
        <v>257</v>
      </c>
      <c r="X228" t="s">
        <v>149</v>
      </c>
      <c r="Y228">
        <v>0</v>
      </c>
    </row>
    <row r="229" spans="1:25" x14ac:dyDescent="0.25">
      <c r="A229" t="s">
        <v>165</v>
      </c>
      <c r="B229">
        <v>2204</v>
      </c>
      <c r="C229">
        <v>10</v>
      </c>
      <c r="D229" t="s">
        <v>144</v>
      </c>
      <c r="E229" t="s">
        <v>166</v>
      </c>
      <c r="F229" s="16">
        <f t="shared" si="93"/>
        <v>4200</v>
      </c>
      <c r="G229" s="17">
        <f t="shared" si="94"/>
        <v>50.4</v>
      </c>
      <c r="H229" s="15">
        <f t="shared" si="104"/>
        <v>2</v>
      </c>
      <c r="I229" s="24">
        <f t="shared" si="95"/>
        <v>33.6</v>
      </c>
      <c r="J229">
        <v>0</v>
      </c>
      <c r="K229" s="37">
        <f t="shared" si="96"/>
        <v>4</v>
      </c>
      <c r="L229" s="37">
        <f t="shared" si="97"/>
        <v>1</v>
      </c>
      <c r="M229">
        <v>0</v>
      </c>
      <c r="N229" s="35">
        <f t="shared" si="98"/>
        <v>1330</v>
      </c>
      <c r="O229" s="10">
        <f t="shared" si="99"/>
        <v>3310</v>
      </c>
      <c r="P229" s="10">
        <f t="shared" si="100"/>
        <v>4300</v>
      </c>
      <c r="Q229" s="10">
        <f t="shared" si="101"/>
        <v>0</v>
      </c>
      <c r="R229" s="10">
        <f t="shared" si="102"/>
        <v>0</v>
      </c>
      <c r="S229" s="36">
        <f t="shared" si="103"/>
        <v>40800</v>
      </c>
      <c r="T229" s="37">
        <v>0</v>
      </c>
      <c r="U229" t="s">
        <v>146</v>
      </c>
      <c r="V229" t="s">
        <v>147</v>
      </c>
      <c r="W229" s="37" t="s">
        <v>257</v>
      </c>
      <c r="X229" t="s">
        <v>149</v>
      </c>
      <c r="Y229">
        <v>0</v>
      </c>
    </row>
    <row r="230" spans="1:25" x14ac:dyDescent="0.25">
      <c r="A230" t="s">
        <v>165</v>
      </c>
      <c r="B230">
        <v>2204</v>
      </c>
      <c r="C230">
        <v>11</v>
      </c>
      <c r="D230" t="s">
        <v>144</v>
      </c>
      <c r="E230" t="s">
        <v>166</v>
      </c>
      <c r="F230" s="16">
        <f t="shared" si="93"/>
        <v>4650</v>
      </c>
      <c r="G230" s="17">
        <f t="shared" si="94"/>
        <v>55.8</v>
      </c>
      <c r="H230" s="15">
        <f t="shared" si="104"/>
        <v>2</v>
      </c>
      <c r="I230" s="24">
        <f t="shared" si="95"/>
        <v>37.200000000000003</v>
      </c>
      <c r="J230">
        <v>0</v>
      </c>
      <c r="K230" s="37">
        <f t="shared" si="96"/>
        <v>4</v>
      </c>
      <c r="L230" s="37">
        <f t="shared" si="97"/>
        <v>1</v>
      </c>
      <c r="M230">
        <v>0</v>
      </c>
      <c r="N230" s="35">
        <f t="shared" si="98"/>
        <v>1980</v>
      </c>
      <c r="O230" s="10">
        <f t="shared" si="99"/>
        <v>4140</v>
      </c>
      <c r="P230" s="10">
        <f t="shared" si="100"/>
        <v>5540</v>
      </c>
      <c r="Q230" s="10">
        <f t="shared" si="101"/>
        <v>240</v>
      </c>
      <c r="R230" s="10">
        <f t="shared" si="102"/>
        <v>0</v>
      </c>
      <c r="S230" s="36">
        <f t="shared" si="103"/>
        <v>52070</v>
      </c>
      <c r="T230" s="37">
        <v>0</v>
      </c>
      <c r="U230" t="s">
        <v>146</v>
      </c>
      <c r="V230" t="s">
        <v>147</v>
      </c>
      <c r="W230" s="37" t="s">
        <v>257</v>
      </c>
      <c r="X230" t="s">
        <v>149</v>
      </c>
      <c r="Y230">
        <v>0</v>
      </c>
    </row>
    <row r="231" spans="1:25" x14ac:dyDescent="0.25">
      <c r="A231" t="s">
        <v>165</v>
      </c>
      <c r="B231">
        <v>2204</v>
      </c>
      <c r="C231">
        <v>12</v>
      </c>
      <c r="D231" t="s">
        <v>144</v>
      </c>
      <c r="E231" t="s">
        <v>166</v>
      </c>
      <c r="F231" s="16">
        <f t="shared" si="93"/>
        <v>5150</v>
      </c>
      <c r="G231" s="17">
        <f t="shared" si="94"/>
        <v>61.8</v>
      </c>
      <c r="H231" s="15">
        <f t="shared" si="104"/>
        <v>2</v>
      </c>
      <c r="I231" s="24">
        <f t="shared" si="95"/>
        <v>41.2</v>
      </c>
      <c r="J231">
        <v>0</v>
      </c>
      <c r="K231" s="37">
        <f t="shared" si="96"/>
        <v>4</v>
      </c>
      <c r="L231" s="37">
        <f t="shared" si="97"/>
        <v>1</v>
      </c>
      <c r="M231">
        <v>0</v>
      </c>
      <c r="N231" s="35">
        <f t="shared" si="98"/>
        <v>2780</v>
      </c>
      <c r="O231" s="10">
        <f t="shared" si="99"/>
        <v>5150</v>
      </c>
      <c r="P231" s="10">
        <f t="shared" si="100"/>
        <v>7100</v>
      </c>
      <c r="Q231" s="10">
        <f t="shared" si="101"/>
        <v>540</v>
      </c>
      <c r="R231" s="10">
        <f t="shared" si="102"/>
        <v>0</v>
      </c>
      <c r="S231" s="36">
        <f t="shared" si="103"/>
        <v>66270</v>
      </c>
      <c r="T231" s="37">
        <v>0</v>
      </c>
      <c r="U231" t="s">
        <v>146</v>
      </c>
      <c r="V231" t="s">
        <v>147</v>
      </c>
      <c r="W231" s="37" t="s">
        <v>257</v>
      </c>
      <c r="X231" t="s">
        <v>149</v>
      </c>
      <c r="Y231">
        <v>0</v>
      </c>
    </row>
    <row r="232" spans="1:25" x14ac:dyDescent="0.25">
      <c r="A232" t="s">
        <v>165</v>
      </c>
      <c r="B232">
        <v>2204</v>
      </c>
      <c r="C232">
        <v>13</v>
      </c>
      <c r="D232" t="s">
        <v>144</v>
      </c>
      <c r="E232" t="s">
        <v>166</v>
      </c>
      <c r="F232" s="16">
        <f t="shared" si="93"/>
        <v>5700</v>
      </c>
      <c r="G232" s="17">
        <f t="shared" si="94"/>
        <v>68.399999999999991</v>
      </c>
      <c r="H232" s="15">
        <f t="shared" si="104"/>
        <v>2</v>
      </c>
      <c r="I232" s="24">
        <f t="shared" si="95"/>
        <v>45.6</v>
      </c>
      <c r="J232">
        <v>0</v>
      </c>
      <c r="K232" s="37">
        <f t="shared" si="96"/>
        <v>4</v>
      </c>
      <c r="L232" s="37">
        <f t="shared" si="97"/>
        <v>1</v>
      </c>
      <c r="M232">
        <v>0</v>
      </c>
      <c r="N232" s="35">
        <f t="shared" si="98"/>
        <v>3750</v>
      </c>
      <c r="O232" s="10">
        <f t="shared" si="99"/>
        <v>6380</v>
      </c>
      <c r="P232" s="10">
        <f t="shared" si="100"/>
        <v>9060</v>
      </c>
      <c r="Q232" s="10">
        <f t="shared" si="101"/>
        <v>910</v>
      </c>
      <c r="R232" s="10">
        <f t="shared" si="102"/>
        <v>0</v>
      </c>
      <c r="S232" s="36">
        <f t="shared" si="103"/>
        <v>84130</v>
      </c>
      <c r="T232" s="37">
        <v>0</v>
      </c>
      <c r="U232" t="s">
        <v>146</v>
      </c>
      <c r="V232" t="s">
        <v>147</v>
      </c>
      <c r="W232" s="37" t="s">
        <v>257</v>
      </c>
      <c r="X232" t="s">
        <v>149</v>
      </c>
      <c r="Y232">
        <v>0</v>
      </c>
    </row>
    <row r="233" spans="1:25" x14ac:dyDescent="0.25">
      <c r="A233" t="s">
        <v>165</v>
      </c>
      <c r="B233">
        <v>2204</v>
      </c>
      <c r="C233">
        <v>14</v>
      </c>
      <c r="D233" t="s">
        <v>144</v>
      </c>
      <c r="E233" t="s">
        <v>166</v>
      </c>
      <c r="F233" s="16">
        <f t="shared" si="93"/>
        <v>6250</v>
      </c>
      <c r="G233" s="17">
        <f t="shared" si="94"/>
        <v>75</v>
      </c>
      <c r="H233" s="15">
        <f t="shared" si="104"/>
        <v>2</v>
      </c>
      <c r="I233" s="24">
        <f t="shared" si="95"/>
        <v>50</v>
      </c>
      <c r="J233">
        <v>0</v>
      </c>
      <c r="K233" s="37">
        <f t="shared" si="96"/>
        <v>4</v>
      </c>
      <c r="L233" s="37">
        <f t="shared" si="97"/>
        <v>1</v>
      </c>
      <c r="M233">
        <v>0</v>
      </c>
      <c r="N233" s="35">
        <f t="shared" si="98"/>
        <v>4930</v>
      </c>
      <c r="O233" s="10">
        <f t="shared" si="99"/>
        <v>7900</v>
      </c>
      <c r="P233" s="10">
        <f t="shared" si="100"/>
        <v>11530</v>
      </c>
      <c r="Q233" s="10">
        <f t="shared" si="101"/>
        <v>1350</v>
      </c>
      <c r="R233" s="10">
        <f t="shared" si="102"/>
        <v>0</v>
      </c>
      <c r="S233" s="36">
        <f t="shared" si="103"/>
        <v>106610</v>
      </c>
      <c r="T233" s="37">
        <v>0</v>
      </c>
      <c r="U233" t="s">
        <v>146</v>
      </c>
      <c r="V233" t="s">
        <v>147</v>
      </c>
      <c r="W233" s="37" t="s">
        <v>257</v>
      </c>
      <c r="X233" t="s">
        <v>149</v>
      </c>
      <c r="Y233">
        <v>0</v>
      </c>
    </row>
    <row r="234" spans="1:25" x14ac:dyDescent="0.25">
      <c r="A234" t="s">
        <v>165</v>
      </c>
      <c r="B234">
        <v>2204</v>
      </c>
      <c r="C234">
        <v>15</v>
      </c>
      <c r="D234" t="s">
        <v>144</v>
      </c>
      <c r="E234" t="s">
        <v>166</v>
      </c>
      <c r="F234" s="16">
        <f t="shared" si="93"/>
        <v>6900</v>
      </c>
      <c r="G234" s="17">
        <f t="shared" si="94"/>
        <v>82.8</v>
      </c>
      <c r="H234" s="15">
        <f t="shared" si="104"/>
        <v>2</v>
      </c>
      <c r="I234" s="24">
        <f t="shared" si="95"/>
        <v>55.2</v>
      </c>
      <c r="J234">
        <v>0</v>
      </c>
      <c r="K234" s="37">
        <f t="shared" si="96"/>
        <v>4</v>
      </c>
      <c r="L234" s="37">
        <f t="shared" si="97"/>
        <v>1</v>
      </c>
      <c r="M234">
        <v>0</v>
      </c>
      <c r="N234" s="35">
        <f t="shared" si="98"/>
        <v>6380</v>
      </c>
      <c r="O234" s="10">
        <f t="shared" si="99"/>
        <v>9740</v>
      </c>
      <c r="P234" s="10">
        <f t="shared" si="100"/>
        <v>14640</v>
      </c>
      <c r="Q234" s="10">
        <f t="shared" si="101"/>
        <v>1900</v>
      </c>
      <c r="R234" s="10">
        <f t="shared" si="102"/>
        <v>0</v>
      </c>
      <c r="S234" s="36">
        <f t="shared" si="103"/>
        <v>134900</v>
      </c>
      <c r="T234" s="37">
        <v>0</v>
      </c>
      <c r="U234" t="s">
        <v>146</v>
      </c>
      <c r="V234" t="s">
        <v>147</v>
      </c>
      <c r="W234" s="37" t="s">
        <v>257</v>
      </c>
      <c r="X234" t="s">
        <v>149</v>
      </c>
      <c r="Y234">
        <v>0</v>
      </c>
    </row>
    <row r="235" spans="1:25" x14ac:dyDescent="0.25">
      <c r="G235" s="15"/>
      <c r="H235" s="15"/>
    </row>
    <row r="236" spans="1:25" x14ac:dyDescent="0.25">
      <c r="A236" t="s">
        <v>203</v>
      </c>
      <c r="B236" s="15" t="s">
        <v>201</v>
      </c>
      <c r="C236">
        <v>15</v>
      </c>
      <c r="G236" s="15"/>
      <c r="H236" s="15"/>
      <c r="K236" s="7" t="s">
        <v>1</v>
      </c>
      <c r="L236" s="8" t="s">
        <v>2</v>
      </c>
      <c r="M236" s="8" t="s">
        <v>194</v>
      </c>
      <c r="N236" s="33" t="s">
        <v>204</v>
      </c>
      <c r="O236" s="12" t="s">
        <v>205</v>
      </c>
    </row>
    <row r="237" spans="1:25" x14ac:dyDescent="0.25">
      <c r="A237" t="s">
        <v>203</v>
      </c>
      <c r="B237" t="s">
        <v>202</v>
      </c>
      <c r="C237">
        <v>4</v>
      </c>
      <c r="G237" s="15"/>
      <c r="H237" s="15" t="s">
        <v>132</v>
      </c>
      <c r="K237">
        <v>0.1</v>
      </c>
      <c r="L237">
        <v>-3</v>
      </c>
      <c r="M237">
        <v>5000</v>
      </c>
    </row>
    <row r="238" spans="1:25" x14ac:dyDescent="0.25">
      <c r="A238" t="s">
        <v>203</v>
      </c>
      <c r="B238" t="s">
        <v>128</v>
      </c>
      <c r="C238" t="s">
        <v>207</v>
      </c>
      <c r="G238" s="15"/>
      <c r="H238" s="15" t="s">
        <v>133</v>
      </c>
      <c r="K238">
        <v>0.13</v>
      </c>
      <c r="L238">
        <v>660</v>
      </c>
      <c r="M238">
        <v>11000</v>
      </c>
    </row>
    <row r="239" spans="1:25" x14ac:dyDescent="0.25">
      <c r="A239" t="s">
        <v>203</v>
      </c>
      <c r="G239" s="15"/>
      <c r="H239" s="15" t="s">
        <v>198</v>
      </c>
      <c r="K239">
        <v>0.14000000000000001</v>
      </c>
      <c r="L239">
        <v>800</v>
      </c>
      <c r="M239">
        <v>15000</v>
      </c>
    </row>
    <row r="240" spans="1:25" x14ac:dyDescent="0.25">
      <c r="A240" t="s">
        <v>203</v>
      </c>
      <c r="G240" s="15"/>
      <c r="H240" s="15" t="s">
        <v>135</v>
      </c>
      <c r="K240">
        <v>0.2</v>
      </c>
      <c r="L240">
        <v>-8</v>
      </c>
      <c r="M240">
        <v>4000</v>
      </c>
    </row>
    <row r="241" spans="1:25" x14ac:dyDescent="0.25">
      <c r="A241" t="s">
        <v>203</v>
      </c>
      <c r="G241" s="15"/>
      <c r="H241" s="15" t="s">
        <v>136</v>
      </c>
      <c r="K241">
        <v>0</v>
      </c>
      <c r="L241">
        <v>0</v>
      </c>
      <c r="M241">
        <v>0</v>
      </c>
    </row>
    <row r="242" spans="1:25" x14ac:dyDescent="0.25">
      <c r="A242" t="s">
        <v>203</v>
      </c>
      <c r="G242" s="15"/>
      <c r="H242" s="15" t="s">
        <v>69</v>
      </c>
      <c r="K242">
        <v>0.15</v>
      </c>
      <c r="L242">
        <v>24300</v>
      </c>
      <c r="M242">
        <v>135000</v>
      </c>
      <c r="N242" s="34" t="str">
        <f>TEXT(L242/86400,CHOOSE(MATCH(L242,{0,60,3600},1),":ss","m:ss","[h]:mm:ss"))</f>
        <v>6:45:00</v>
      </c>
      <c r="O242" s="11" t="str">
        <f>TEXT(M242/86400,CHOOSE(MATCH(M242,{0,60,3600},1),":ss","m:ss","[h]:mm:ss"))</f>
        <v>37:30:00</v>
      </c>
    </row>
    <row r="243" spans="1:25" x14ac:dyDescent="0.25">
      <c r="G243" s="15"/>
      <c r="H243" s="15"/>
      <c r="K243" s="15"/>
      <c r="L243" s="15"/>
      <c r="M243" s="15"/>
    </row>
    <row r="244" spans="1:25" x14ac:dyDescent="0.25">
      <c r="G244" s="15"/>
      <c r="H244" s="15"/>
      <c r="K244" s="15"/>
      <c r="L244" s="15"/>
      <c r="M244" s="15"/>
    </row>
    <row r="245" spans="1:25" x14ac:dyDescent="0.25">
      <c r="A245" t="s">
        <v>167</v>
      </c>
      <c r="B245">
        <v>2202</v>
      </c>
      <c r="C245">
        <v>0</v>
      </c>
      <c r="D245" t="s">
        <v>144</v>
      </c>
      <c r="E245" t="s">
        <v>145</v>
      </c>
      <c r="F245" s="16">
        <v>500</v>
      </c>
      <c r="G245" s="15">
        <v>0</v>
      </c>
      <c r="H245" s="15">
        <v>0</v>
      </c>
      <c r="I245" s="24">
        <v>0</v>
      </c>
      <c r="J245">
        <v>0</v>
      </c>
      <c r="K245">
        <v>0</v>
      </c>
      <c r="L245">
        <v>0</v>
      </c>
      <c r="M245">
        <v>0</v>
      </c>
      <c r="N245" s="16">
        <v>0</v>
      </c>
      <c r="O245">
        <v>0</v>
      </c>
      <c r="P245">
        <v>0</v>
      </c>
      <c r="Q245">
        <v>0</v>
      </c>
      <c r="R245">
        <v>0</v>
      </c>
      <c r="S245" s="21">
        <v>0</v>
      </c>
      <c r="T245">
        <v>0</v>
      </c>
      <c r="U245" t="s">
        <v>146</v>
      </c>
      <c r="V245" t="s">
        <v>147</v>
      </c>
      <c r="W245" s="37" t="s">
        <v>257</v>
      </c>
      <c r="X245" t="s">
        <v>149</v>
      </c>
      <c r="Y245">
        <v>0</v>
      </c>
    </row>
    <row r="246" spans="1:25" x14ac:dyDescent="0.25">
      <c r="A246" t="s">
        <v>167</v>
      </c>
      <c r="B246">
        <v>2202</v>
      </c>
      <c r="C246">
        <v>1</v>
      </c>
      <c r="D246" t="s">
        <v>144</v>
      </c>
      <c r="E246" t="s">
        <v>168</v>
      </c>
      <c r="F246" s="16">
        <f t="shared" ref="F246:F260" si="105">VLOOKUP($C$238,$C$4:$M$9,4,FALSE)*(LOOKUP($C$237,$B$13:$B$28,$C$13:$C$28)+LOOKUP($C246,$B$13:$B$28,$D$13:$D$28))</f>
        <v>1700</v>
      </c>
      <c r="G246" s="17">
        <f t="shared" ref="G246:G260" si="106">VLOOKUP($C$238,$C$4:$M$9,5,FALSE)*(LOOKUP($C$237,$B$13:$B$28,$C$13:$C$28)+LOOKUP($C246,$B$13:$B$28,$D$13:$D$28))</f>
        <v>20.399999999999999</v>
      </c>
      <c r="H246" s="15">
        <f>VLOOKUP($C$238,$C$4:$M$9,6,FALSE)</f>
        <v>2</v>
      </c>
      <c r="I246" s="24">
        <f t="shared" ref="I246:I260" si="107">VLOOKUP($C$238,$C$4:$M$9,7,FALSE)*(LOOKUP($C$237,$B$13:$B$28,$C$13:$C$28)+LOOKUP($C246,$B$13:$B$28,$D$13:$D$28))</f>
        <v>13.600000000000001</v>
      </c>
      <c r="J246">
        <v>0</v>
      </c>
      <c r="K246">
        <f t="shared" ref="K246:K260" si="108">VLOOKUP($C$238,$C$4:$M$9,9,FALSE)</f>
        <v>4</v>
      </c>
      <c r="L246">
        <f t="shared" ref="L246:L260" si="109">VLOOKUP($C$238,$C$4:$M$9,10,FALSE)</f>
        <v>1</v>
      </c>
      <c r="M246">
        <v>0</v>
      </c>
      <c r="N246" s="35">
        <f>ROUND(GetValue($C246,$C$236,$K$237,$L$237,$M$237),-1)</f>
        <v>0</v>
      </c>
      <c r="O246" s="10">
        <f>ROUND(GetValue($C246,$C$236,$K$238,$L$238,$M$238),-1)</f>
        <v>660</v>
      </c>
      <c r="P246" s="10">
        <f>ROUND(GetValue($C246,$C$236,$K$239,$L$239,$M$239),-1)</f>
        <v>800</v>
      </c>
      <c r="Q246" s="10">
        <f>ROUND(GetValue($C246,$C$236,$K$240,$L$240,$M$240),-1)</f>
        <v>0</v>
      </c>
      <c r="R246" s="10">
        <f>ROUND(GetValue($C246,$C$236,$K$241,$L$241,$M$241),-1)</f>
        <v>0</v>
      </c>
      <c r="S246" s="36">
        <f>ROUND(GetValue($C246,$C$236,$K$242,$L$242,$M$242),-1)</f>
        <v>24300</v>
      </c>
      <c r="T246" s="37">
        <v>0</v>
      </c>
      <c r="U246" t="s">
        <v>146</v>
      </c>
      <c r="V246" t="s">
        <v>147</v>
      </c>
      <c r="W246" s="37" t="s">
        <v>257</v>
      </c>
      <c r="X246" t="s">
        <v>149</v>
      </c>
      <c r="Y246">
        <v>0</v>
      </c>
    </row>
    <row r="247" spans="1:25" x14ac:dyDescent="0.25">
      <c r="A247" t="s">
        <v>167</v>
      </c>
      <c r="B247">
        <v>2202</v>
      </c>
      <c r="C247">
        <v>2</v>
      </c>
      <c r="D247" t="s">
        <v>144</v>
      </c>
      <c r="E247" t="s">
        <v>168</v>
      </c>
      <c r="F247" s="16">
        <f t="shared" si="105"/>
        <v>1850</v>
      </c>
      <c r="G247" s="17">
        <f t="shared" si="106"/>
        <v>22.2</v>
      </c>
      <c r="H247" s="15">
        <f>H246</f>
        <v>2</v>
      </c>
      <c r="I247" s="24">
        <f t="shared" si="107"/>
        <v>14.8</v>
      </c>
      <c r="J247">
        <v>0</v>
      </c>
      <c r="K247" s="37">
        <f t="shared" si="108"/>
        <v>4</v>
      </c>
      <c r="L247" s="37">
        <f t="shared" si="109"/>
        <v>1</v>
      </c>
      <c r="M247">
        <v>0</v>
      </c>
      <c r="N247" s="35">
        <f t="shared" ref="N247:N260" si="110">ROUND(GetValue($C247,$C$236,$K$237,$L$237,$M$237),-1)</f>
        <v>0</v>
      </c>
      <c r="O247" s="10">
        <f t="shared" ref="O247:O260" si="111">ROUND(GetValue($C247,$C$236,$K$238,$L$238,$M$238),-1)</f>
        <v>920</v>
      </c>
      <c r="P247" s="10">
        <f t="shared" ref="P247:P260" si="112">ROUND(GetValue($C247,$C$236,$K$239,$L$239,$M$239),-1)</f>
        <v>1130</v>
      </c>
      <c r="Q247" s="10">
        <f t="shared" ref="Q247:Q260" si="113">ROUND(GetValue($C247,$C$236,$K$240,$L$240,$M$240),-1)</f>
        <v>0</v>
      </c>
      <c r="R247" s="10">
        <f t="shared" ref="R247:R260" si="114">ROUND(GetValue($C247,$C$236,$K$241,$L$241,$M$241),-1)</f>
        <v>0</v>
      </c>
      <c r="S247" s="36">
        <f t="shared" ref="S247:S260" si="115">ROUND(GetValue($C247,$C$236,$K$242,$L$242,$M$242),-1)</f>
        <v>27460</v>
      </c>
      <c r="T247" s="37">
        <v>0</v>
      </c>
      <c r="U247" t="s">
        <v>146</v>
      </c>
      <c r="V247" t="s">
        <v>147</v>
      </c>
      <c r="W247" s="37" t="s">
        <v>257</v>
      </c>
      <c r="X247" t="s">
        <v>149</v>
      </c>
      <c r="Y247">
        <v>0</v>
      </c>
    </row>
    <row r="248" spans="1:25" x14ac:dyDescent="0.25">
      <c r="A248" t="s">
        <v>167</v>
      </c>
      <c r="B248">
        <v>2202</v>
      </c>
      <c r="C248">
        <v>3</v>
      </c>
      <c r="D248" t="s">
        <v>144</v>
      </c>
      <c r="E248" t="s">
        <v>168</v>
      </c>
      <c r="F248" s="16">
        <f t="shared" si="105"/>
        <v>2100</v>
      </c>
      <c r="G248" s="17">
        <f t="shared" si="106"/>
        <v>25.2</v>
      </c>
      <c r="H248" s="15">
        <f t="shared" ref="H248:H259" si="116">H247</f>
        <v>2</v>
      </c>
      <c r="I248" s="24">
        <f t="shared" si="107"/>
        <v>16.8</v>
      </c>
      <c r="J248">
        <v>0</v>
      </c>
      <c r="K248" s="37">
        <f t="shared" si="108"/>
        <v>4</v>
      </c>
      <c r="L248" s="37">
        <f t="shared" si="109"/>
        <v>1</v>
      </c>
      <c r="M248">
        <v>0</v>
      </c>
      <c r="N248" s="35">
        <f t="shared" si="110"/>
        <v>0</v>
      </c>
      <c r="O248" s="10">
        <f t="shared" si="111"/>
        <v>1220</v>
      </c>
      <c r="P248" s="10">
        <f t="shared" si="112"/>
        <v>1520</v>
      </c>
      <c r="Q248" s="10">
        <f t="shared" si="113"/>
        <v>0</v>
      </c>
      <c r="R248" s="10">
        <f t="shared" si="114"/>
        <v>0</v>
      </c>
      <c r="S248" s="36">
        <f t="shared" si="115"/>
        <v>31120</v>
      </c>
      <c r="T248" s="37">
        <v>0</v>
      </c>
      <c r="U248" t="s">
        <v>146</v>
      </c>
      <c r="V248" t="s">
        <v>147</v>
      </c>
      <c r="W248" s="37" t="s">
        <v>257</v>
      </c>
      <c r="X248" t="s">
        <v>149</v>
      </c>
      <c r="Y248">
        <v>0</v>
      </c>
    </row>
    <row r="249" spans="1:25" x14ac:dyDescent="0.25">
      <c r="A249" t="s">
        <v>167</v>
      </c>
      <c r="B249">
        <v>2202</v>
      </c>
      <c r="C249">
        <v>4</v>
      </c>
      <c r="D249" t="s">
        <v>144</v>
      </c>
      <c r="E249" t="s">
        <v>168</v>
      </c>
      <c r="F249" s="16">
        <f t="shared" si="105"/>
        <v>2400</v>
      </c>
      <c r="G249" s="17">
        <f t="shared" si="106"/>
        <v>28.799999999999997</v>
      </c>
      <c r="H249" s="15">
        <f t="shared" si="116"/>
        <v>2</v>
      </c>
      <c r="I249" s="24">
        <f t="shared" si="107"/>
        <v>19.200000000000003</v>
      </c>
      <c r="J249">
        <v>0</v>
      </c>
      <c r="K249" s="37">
        <f t="shared" si="108"/>
        <v>4</v>
      </c>
      <c r="L249" s="37">
        <f t="shared" si="109"/>
        <v>1</v>
      </c>
      <c r="M249">
        <v>0</v>
      </c>
      <c r="N249" s="35">
        <f t="shared" si="110"/>
        <v>160</v>
      </c>
      <c r="O249" s="10">
        <f t="shared" si="111"/>
        <v>1560</v>
      </c>
      <c r="P249" s="10">
        <f t="shared" si="112"/>
        <v>1960</v>
      </c>
      <c r="Q249" s="10">
        <f t="shared" si="113"/>
        <v>0</v>
      </c>
      <c r="R249" s="10">
        <f t="shared" si="114"/>
        <v>0</v>
      </c>
      <c r="S249" s="36">
        <f t="shared" si="115"/>
        <v>35390</v>
      </c>
      <c r="T249" s="37">
        <v>0</v>
      </c>
      <c r="U249" t="s">
        <v>146</v>
      </c>
      <c r="V249" t="s">
        <v>147</v>
      </c>
      <c r="W249" s="37" t="s">
        <v>257</v>
      </c>
      <c r="X249" t="s">
        <v>149</v>
      </c>
      <c r="Y249">
        <v>0</v>
      </c>
    </row>
    <row r="250" spans="1:25" x14ac:dyDescent="0.25">
      <c r="A250" t="s">
        <v>167</v>
      </c>
      <c r="B250">
        <v>2202</v>
      </c>
      <c r="C250">
        <v>5</v>
      </c>
      <c r="D250" t="s">
        <v>144</v>
      </c>
      <c r="E250" t="s">
        <v>168</v>
      </c>
      <c r="F250" s="16">
        <f t="shared" si="105"/>
        <v>2650</v>
      </c>
      <c r="G250" s="17">
        <f t="shared" si="106"/>
        <v>31.799999999999997</v>
      </c>
      <c r="H250" s="15">
        <f t="shared" si="116"/>
        <v>2</v>
      </c>
      <c r="I250" s="24">
        <f t="shared" si="107"/>
        <v>21.200000000000003</v>
      </c>
      <c r="J250">
        <v>0</v>
      </c>
      <c r="K250" s="37">
        <f t="shared" si="108"/>
        <v>4</v>
      </c>
      <c r="L250" s="37">
        <f t="shared" si="109"/>
        <v>1</v>
      </c>
      <c r="M250">
        <v>0</v>
      </c>
      <c r="N250" s="35">
        <f t="shared" si="110"/>
        <v>330</v>
      </c>
      <c r="O250" s="10">
        <f t="shared" si="111"/>
        <v>1950</v>
      </c>
      <c r="P250" s="10">
        <f t="shared" si="112"/>
        <v>2470</v>
      </c>
      <c r="Q250" s="10">
        <f t="shared" si="113"/>
        <v>0</v>
      </c>
      <c r="R250" s="10">
        <f t="shared" si="114"/>
        <v>0</v>
      </c>
      <c r="S250" s="36">
        <f t="shared" si="115"/>
        <v>40340</v>
      </c>
      <c r="T250" s="37">
        <v>0</v>
      </c>
      <c r="U250" t="s">
        <v>146</v>
      </c>
      <c r="V250" t="s">
        <v>147</v>
      </c>
      <c r="W250" s="37" t="s">
        <v>257</v>
      </c>
      <c r="X250" t="s">
        <v>149</v>
      </c>
      <c r="Y250">
        <v>0</v>
      </c>
    </row>
    <row r="251" spans="1:25" x14ac:dyDescent="0.25">
      <c r="A251" t="s">
        <v>167</v>
      </c>
      <c r="B251">
        <v>2202</v>
      </c>
      <c r="C251">
        <v>6</v>
      </c>
      <c r="D251" t="s">
        <v>144</v>
      </c>
      <c r="E251" t="s">
        <v>168</v>
      </c>
      <c r="F251" s="16">
        <f t="shared" si="105"/>
        <v>2950</v>
      </c>
      <c r="G251" s="17">
        <f t="shared" si="106"/>
        <v>35.4</v>
      </c>
      <c r="H251" s="15">
        <f t="shared" si="116"/>
        <v>2</v>
      </c>
      <c r="I251" s="24">
        <f t="shared" si="107"/>
        <v>23.6</v>
      </c>
      <c r="J251">
        <v>0</v>
      </c>
      <c r="K251" s="37">
        <f t="shared" si="108"/>
        <v>4</v>
      </c>
      <c r="L251" s="37">
        <f t="shared" si="109"/>
        <v>1</v>
      </c>
      <c r="M251">
        <v>0</v>
      </c>
      <c r="N251" s="35">
        <f t="shared" si="110"/>
        <v>530</v>
      </c>
      <c r="O251" s="10">
        <f t="shared" si="111"/>
        <v>2390</v>
      </c>
      <c r="P251" s="10">
        <f t="shared" si="112"/>
        <v>3060</v>
      </c>
      <c r="Q251" s="10">
        <f t="shared" si="113"/>
        <v>0</v>
      </c>
      <c r="R251" s="10">
        <f t="shared" si="114"/>
        <v>0</v>
      </c>
      <c r="S251" s="36">
        <f t="shared" si="115"/>
        <v>46090</v>
      </c>
      <c r="T251" s="37">
        <v>0</v>
      </c>
      <c r="U251" t="s">
        <v>146</v>
      </c>
      <c r="V251" t="s">
        <v>147</v>
      </c>
      <c r="W251" s="37" t="s">
        <v>257</v>
      </c>
      <c r="X251" t="s">
        <v>149</v>
      </c>
      <c r="Y251">
        <v>0</v>
      </c>
    </row>
    <row r="252" spans="1:25" x14ac:dyDescent="0.25">
      <c r="A252" t="s">
        <v>167</v>
      </c>
      <c r="B252">
        <v>2202</v>
      </c>
      <c r="C252">
        <v>7</v>
      </c>
      <c r="D252" t="s">
        <v>144</v>
      </c>
      <c r="E252" t="s">
        <v>168</v>
      </c>
      <c r="F252" s="16">
        <f t="shared" si="105"/>
        <v>3300</v>
      </c>
      <c r="G252" s="17">
        <f t="shared" si="106"/>
        <v>39.6</v>
      </c>
      <c r="H252" s="15">
        <f t="shared" si="116"/>
        <v>2</v>
      </c>
      <c r="I252" s="24">
        <f t="shared" si="107"/>
        <v>26.400000000000002</v>
      </c>
      <c r="J252">
        <v>0</v>
      </c>
      <c r="K252" s="37">
        <f t="shared" si="108"/>
        <v>4</v>
      </c>
      <c r="L252" s="37">
        <f t="shared" si="109"/>
        <v>1</v>
      </c>
      <c r="M252">
        <v>0</v>
      </c>
      <c r="N252" s="35">
        <f t="shared" si="110"/>
        <v>740</v>
      </c>
      <c r="O252" s="10">
        <f t="shared" si="111"/>
        <v>2890</v>
      </c>
      <c r="P252" s="10">
        <f t="shared" si="112"/>
        <v>3730</v>
      </c>
      <c r="Q252" s="10">
        <f t="shared" si="113"/>
        <v>0</v>
      </c>
      <c r="R252" s="10">
        <f t="shared" si="114"/>
        <v>0</v>
      </c>
      <c r="S252" s="36">
        <f t="shared" si="115"/>
        <v>52770</v>
      </c>
      <c r="T252" s="37">
        <v>0</v>
      </c>
      <c r="U252" t="s">
        <v>146</v>
      </c>
      <c r="V252" t="s">
        <v>147</v>
      </c>
      <c r="W252" s="37" t="s">
        <v>257</v>
      </c>
      <c r="X252" t="s">
        <v>149</v>
      </c>
      <c r="Y252">
        <v>0</v>
      </c>
    </row>
    <row r="253" spans="1:25" x14ac:dyDescent="0.25">
      <c r="A253" t="s">
        <v>167</v>
      </c>
      <c r="B253">
        <v>2202</v>
      </c>
      <c r="C253">
        <v>8</v>
      </c>
      <c r="D253" t="s">
        <v>144</v>
      </c>
      <c r="E253" t="s">
        <v>168</v>
      </c>
      <c r="F253" s="16">
        <f t="shared" si="105"/>
        <v>3650</v>
      </c>
      <c r="G253" s="17">
        <f t="shared" si="106"/>
        <v>43.8</v>
      </c>
      <c r="H253" s="15">
        <f t="shared" si="116"/>
        <v>2</v>
      </c>
      <c r="I253" s="24">
        <f t="shared" si="107"/>
        <v>29.200000000000003</v>
      </c>
      <c r="J253">
        <v>0</v>
      </c>
      <c r="K253" s="37">
        <f t="shared" si="108"/>
        <v>4</v>
      </c>
      <c r="L253" s="37">
        <f t="shared" si="109"/>
        <v>1</v>
      </c>
      <c r="M253">
        <v>0</v>
      </c>
      <c r="N253" s="35">
        <f t="shared" si="110"/>
        <v>980</v>
      </c>
      <c r="O253" s="10">
        <f t="shared" si="111"/>
        <v>3460</v>
      </c>
      <c r="P253" s="10">
        <f t="shared" si="112"/>
        <v>4500</v>
      </c>
      <c r="Q253" s="10">
        <f t="shared" si="113"/>
        <v>0</v>
      </c>
      <c r="R253" s="10">
        <f t="shared" si="114"/>
        <v>0</v>
      </c>
      <c r="S253" s="36">
        <f t="shared" si="115"/>
        <v>60540</v>
      </c>
      <c r="T253" s="37">
        <v>0</v>
      </c>
      <c r="U253" t="s">
        <v>146</v>
      </c>
      <c r="V253" t="s">
        <v>147</v>
      </c>
      <c r="W253" s="37" t="s">
        <v>257</v>
      </c>
      <c r="X253" t="s">
        <v>149</v>
      </c>
      <c r="Y253">
        <v>0</v>
      </c>
    </row>
    <row r="254" spans="1:25" x14ac:dyDescent="0.25">
      <c r="A254" t="s">
        <v>167</v>
      </c>
      <c r="B254">
        <v>2202</v>
      </c>
      <c r="C254">
        <v>9</v>
      </c>
      <c r="D254" t="s">
        <v>144</v>
      </c>
      <c r="E254" t="s">
        <v>168</v>
      </c>
      <c r="F254" s="16">
        <f t="shared" si="105"/>
        <v>4050</v>
      </c>
      <c r="G254" s="17">
        <f t="shared" si="106"/>
        <v>48.6</v>
      </c>
      <c r="H254" s="15">
        <f t="shared" si="116"/>
        <v>2</v>
      </c>
      <c r="I254" s="24">
        <f t="shared" si="107"/>
        <v>32.4</v>
      </c>
      <c r="J254">
        <v>0</v>
      </c>
      <c r="K254" s="37">
        <f t="shared" si="108"/>
        <v>4</v>
      </c>
      <c r="L254" s="37">
        <f t="shared" si="109"/>
        <v>1</v>
      </c>
      <c r="M254">
        <v>0</v>
      </c>
      <c r="N254" s="35">
        <f t="shared" si="110"/>
        <v>1240</v>
      </c>
      <c r="O254" s="10">
        <f t="shared" si="111"/>
        <v>4120</v>
      </c>
      <c r="P254" s="10">
        <f t="shared" si="112"/>
        <v>5400</v>
      </c>
      <c r="Q254" s="10">
        <f t="shared" si="113"/>
        <v>220</v>
      </c>
      <c r="R254" s="10">
        <f t="shared" si="114"/>
        <v>0</v>
      </c>
      <c r="S254" s="36">
        <f t="shared" si="115"/>
        <v>69560</v>
      </c>
      <c r="T254" s="37">
        <v>0</v>
      </c>
      <c r="U254" t="s">
        <v>146</v>
      </c>
      <c r="V254" t="s">
        <v>147</v>
      </c>
      <c r="W254" s="37" t="s">
        <v>257</v>
      </c>
      <c r="X254" t="s">
        <v>149</v>
      </c>
      <c r="Y254">
        <v>0</v>
      </c>
    </row>
    <row r="255" spans="1:25" x14ac:dyDescent="0.25">
      <c r="A255" t="s">
        <v>167</v>
      </c>
      <c r="B255">
        <v>2202</v>
      </c>
      <c r="C255">
        <v>10</v>
      </c>
      <c r="D255" t="s">
        <v>144</v>
      </c>
      <c r="E255" t="s">
        <v>168</v>
      </c>
      <c r="F255" s="16">
        <f t="shared" si="105"/>
        <v>4500</v>
      </c>
      <c r="G255" s="17">
        <f t="shared" si="106"/>
        <v>54</v>
      </c>
      <c r="H255" s="15">
        <f t="shared" si="116"/>
        <v>2</v>
      </c>
      <c r="I255" s="24">
        <f t="shared" si="107"/>
        <v>36</v>
      </c>
      <c r="J255">
        <v>0</v>
      </c>
      <c r="K255" s="37">
        <f t="shared" si="108"/>
        <v>4</v>
      </c>
      <c r="L255" s="37">
        <f t="shared" si="109"/>
        <v>1</v>
      </c>
      <c r="M255">
        <v>0</v>
      </c>
      <c r="N255" s="35">
        <f t="shared" si="110"/>
        <v>1530</v>
      </c>
      <c r="O255" s="10">
        <f t="shared" si="111"/>
        <v>4860</v>
      </c>
      <c r="P255" s="10">
        <f t="shared" si="112"/>
        <v>6420</v>
      </c>
      <c r="Q255" s="10">
        <f t="shared" si="113"/>
        <v>490</v>
      </c>
      <c r="R255" s="10">
        <f t="shared" si="114"/>
        <v>0</v>
      </c>
      <c r="S255" s="36">
        <f t="shared" si="115"/>
        <v>80040</v>
      </c>
      <c r="T255" s="37">
        <v>0</v>
      </c>
      <c r="U255" t="s">
        <v>146</v>
      </c>
      <c r="V255" t="s">
        <v>147</v>
      </c>
      <c r="W255" s="37" t="s">
        <v>257</v>
      </c>
      <c r="X255" t="s">
        <v>149</v>
      </c>
      <c r="Y255">
        <v>0</v>
      </c>
    </row>
    <row r="256" spans="1:25" x14ac:dyDescent="0.25">
      <c r="A256" t="s">
        <v>167</v>
      </c>
      <c r="B256">
        <v>2202</v>
      </c>
      <c r="C256">
        <v>11</v>
      </c>
      <c r="D256" t="s">
        <v>144</v>
      </c>
      <c r="E256" t="s">
        <v>168</v>
      </c>
      <c r="F256" s="16">
        <f t="shared" si="105"/>
        <v>4950</v>
      </c>
      <c r="G256" s="17">
        <f t="shared" si="106"/>
        <v>59.4</v>
      </c>
      <c r="H256" s="15">
        <f t="shared" si="116"/>
        <v>2</v>
      </c>
      <c r="I256" s="24">
        <f t="shared" si="107"/>
        <v>39.6</v>
      </c>
      <c r="J256">
        <v>0</v>
      </c>
      <c r="K256" s="37">
        <f t="shared" si="108"/>
        <v>4</v>
      </c>
      <c r="L256" s="37">
        <f t="shared" si="109"/>
        <v>1</v>
      </c>
      <c r="M256">
        <v>0</v>
      </c>
      <c r="N256" s="35">
        <f t="shared" si="110"/>
        <v>1850</v>
      </c>
      <c r="O256" s="10">
        <f t="shared" si="111"/>
        <v>5700</v>
      </c>
      <c r="P256" s="10">
        <f t="shared" si="112"/>
        <v>7600</v>
      </c>
      <c r="Q256" s="10">
        <f t="shared" si="113"/>
        <v>810</v>
      </c>
      <c r="R256" s="10">
        <f t="shared" si="114"/>
        <v>0</v>
      </c>
      <c r="S256" s="36">
        <f t="shared" si="115"/>
        <v>92220</v>
      </c>
      <c r="T256" s="37">
        <v>0</v>
      </c>
      <c r="U256" t="s">
        <v>146</v>
      </c>
      <c r="V256" t="s">
        <v>147</v>
      </c>
      <c r="W256" s="37" t="s">
        <v>257</v>
      </c>
      <c r="X256" t="s">
        <v>149</v>
      </c>
      <c r="Y256">
        <v>0</v>
      </c>
    </row>
    <row r="257" spans="1:25" x14ac:dyDescent="0.25">
      <c r="A257" t="s">
        <v>167</v>
      </c>
      <c r="B257">
        <v>2202</v>
      </c>
      <c r="C257">
        <v>12</v>
      </c>
      <c r="D257" t="s">
        <v>144</v>
      </c>
      <c r="E257" t="s">
        <v>168</v>
      </c>
      <c r="F257" s="16">
        <f t="shared" si="105"/>
        <v>5450</v>
      </c>
      <c r="G257" s="17">
        <f t="shared" si="106"/>
        <v>65.399999999999991</v>
      </c>
      <c r="H257" s="15">
        <f t="shared" si="116"/>
        <v>2</v>
      </c>
      <c r="I257" s="24">
        <f t="shared" si="107"/>
        <v>43.6</v>
      </c>
      <c r="J257">
        <v>0</v>
      </c>
      <c r="K257" s="37">
        <f t="shared" si="108"/>
        <v>4</v>
      </c>
      <c r="L257" s="37">
        <f t="shared" si="109"/>
        <v>1</v>
      </c>
      <c r="M257">
        <v>0</v>
      </c>
      <c r="N257" s="35">
        <f t="shared" si="110"/>
        <v>2200</v>
      </c>
      <c r="O257" s="10">
        <f t="shared" si="111"/>
        <v>6670</v>
      </c>
      <c r="P257" s="10">
        <f t="shared" si="112"/>
        <v>8960</v>
      </c>
      <c r="Q257" s="10">
        <f t="shared" si="113"/>
        <v>1210</v>
      </c>
      <c r="R257" s="10">
        <f t="shared" si="114"/>
        <v>0</v>
      </c>
      <c r="S257" s="36">
        <f t="shared" si="115"/>
        <v>106370</v>
      </c>
      <c r="T257" s="37">
        <v>0</v>
      </c>
      <c r="U257" t="s">
        <v>146</v>
      </c>
      <c r="V257" t="s">
        <v>147</v>
      </c>
      <c r="W257" s="37" t="s">
        <v>257</v>
      </c>
      <c r="X257" t="s">
        <v>149</v>
      </c>
      <c r="Y257">
        <v>0</v>
      </c>
    </row>
    <row r="258" spans="1:25" x14ac:dyDescent="0.25">
      <c r="A258" t="s">
        <v>167</v>
      </c>
      <c r="B258">
        <v>2202</v>
      </c>
      <c r="C258">
        <v>13</v>
      </c>
      <c r="D258" t="s">
        <v>144</v>
      </c>
      <c r="E258" t="s">
        <v>168</v>
      </c>
      <c r="F258" s="16">
        <f t="shared" si="105"/>
        <v>6000</v>
      </c>
      <c r="G258" s="17">
        <f t="shared" si="106"/>
        <v>72</v>
      </c>
      <c r="H258" s="15">
        <f t="shared" si="116"/>
        <v>2</v>
      </c>
      <c r="I258" s="24">
        <f t="shared" si="107"/>
        <v>48</v>
      </c>
      <c r="J258">
        <v>0</v>
      </c>
      <c r="K258" s="37">
        <f t="shared" si="108"/>
        <v>4</v>
      </c>
      <c r="L258" s="37">
        <f t="shared" si="109"/>
        <v>1</v>
      </c>
      <c r="M258">
        <v>0</v>
      </c>
      <c r="N258" s="35">
        <f t="shared" si="110"/>
        <v>2590</v>
      </c>
      <c r="O258" s="10">
        <f t="shared" si="111"/>
        <v>7760</v>
      </c>
      <c r="P258" s="10">
        <f t="shared" si="112"/>
        <v>10520</v>
      </c>
      <c r="Q258" s="10">
        <f t="shared" si="113"/>
        <v>1690</v>
      </c>
      <c r="R258" s="10">
        <f t="shared" si="114"/>
        <v>0</v>
      </c>
      <c r="S258" s="36">
        <f t="shared" si="115"/>
        <v>122810</v>
      </c>
      <c r="T258" s="37">
        <v>0</v>
      </c>
      <c r="U258" t="s">
        <v>146</v>
      </c>
      <c r="V258" t="s">
        <v>147</v>
      </c>
      <c r="W258" s="37" t="s">
        <v>257</v>
      </c>
      <c r="X258" t="s">
        <v>149</v>
      </c>
      <c r="Y258">
        <v>0</v>
      </c>
    </row>
    <row r="259" spans="1:25" x14ac:dyDescent="0.25">
      <c r="A259" t="s">
        <v>167</v>
      </c>
      <c r="B259">
        <v>2202</v>
      </c>
      <c r="C259">
        <v>14</v>
      </c>
      <c r="D259" t="s">
        <v>144</v>
      </c>
      <c r="E259" t="s">
        <v>168</v>
      </c>
      <c r="F259" s="16">
        <f t="shared" si="105"/>
        <v>6550</v>
      </c>
      <c r="G259" s="17">
        <f t="shared" si="106"/>
        <v>78.599999999999994</v>
      </c>
      <c r="H259" s="15">
        <f t="shared" si="116"/>
        <v>2</v>
      </c>
      <c r="I259" s="24">
        <f t="shared" si="107"/>
        <v>52.400000000000006</v>
      </c>
      <c r="J259">
        <v>0</v>
      </c>
      <c r="K259" s="37">
        <f t="shared" si="108"/>
        <v>4</v>
      </c>
      <c r="L259" s="37">
        <f t="shared" si="109"/>
        <v>1</v>
      </c>
      <c r="M259">
        <v>0</v>
      </c>
      <c r="N259" s="35">
        <f t="shared" si="110"/>
        <v>3020</v>
      </c>
      <c r="O259" s="10">
        <f t="shared" si="111"/>
        <v>9010</v>
      </c>
      <c r="P259" s="10">
        <f t="shared" si="112"/>
        <v>12310</v>
      </c>
      <c r="Q259" s="10">
        <f t="shared" si="113"/>
        <v>2290</v>
      </c>
      <c r="R259" s="10">
        <f t="shared" si="114"/>
        <v>0</v>
      </c>
      <c r="S259" s="36">
        <f t="shared" si="115"/>
        <v>141900</v>
      </c>
      <c r="T259" s="37">
        <v>0</v>
      </c>
      <c r="U259" t="s">
        <v>146</v>
      </c>
      <c r="V259" t="s">
        <v>147</v>
      </c>
      <c r="W259" s="37" t="s">
        <v>257</v>
      </c>
      <c r="X259" t="s">
        <v>149</v>
      </c>
      <c r="Y259">
        <v>0</v>
      </c>
    </row>
    <row r="260" spans="1:25" x14ac:dyDescent="0.25">
      <c r="A260" t="s">
        <v>167</v>
      </c>
      <c r="B260">
        <v>2202</v>
      </c>
      <c r="C260">
        <v>15</v>
      </c>
      <c r="D260" t="s">
        <v>144</v>
      </c>
      <c r="E260" t="s">
        <v>168</v>
      </c>
      <c r="F260" s="16">
        <f t="shared" si="105"/>
        <v>7200</v>
      </c>
      <c r="G260" s="17">
        <f t="shared" si="106"/>
        <v>86.399999999999991</v>
      </c>
      <c r="H260" s="15">
        <f>H259</f>
        <v>2</v>
      </c>
      <c r="I260" s="24">
        <f t="shared" si="107"/>
        <v>57.6</v>
      </c>
      <c r="J260">
        <v>0</v>
      </c>
      <c r="K260" s="37">
        <f t="shared" si="108"/>
        <v>4</v>
      </c>
      <c r="L260" s="37">
        <f t="shared" si="109"/>
        <v>1</v>
      </c>
      <c r="M260">
        <v>0</v>
      </c>
      <c r="N260" s="35">
        <f t="shared" si="110"/>
        <v>3490</v>
      </c>
      <c r="O260" s="10">
        <f t="shared" si="111"/>
        <v>10430</v>
      </c>
      <c r="P260" s="10">
        <f t="shared" si="112"/>
        <v>14370</v>
      </c>
      <c r="Q260" s="10">
        <f t="shared" si="113"/>
        <v>3010</v>
      </c>
      <c r="R260" s="10">
        <f t="shared" si="114"/>
        <v>0</v>
      </c>
      <c r="S260" s="36">
        <f t="shared" si="115"/>
        <v>164090</v>
      </c>
      <c r="T260" s="37">
        <v>0</v>
      </c>
      <c r="U260" t="s">
        <v>146</v>
      </c>
      <c r="V260" t="s">
        <v>147</v>
      </c>
      <c r="W260" s="37" t="s">
        <v>257</v>
      </c>
      <c r="X260" t="s">
        <v>149</v>
      </c>
      <c r="Y260">
        <v>0</v>
      </c>
    </row>
    <row r="261" spans="1:25" x14ac:dyDescent="0.25">
      <c r="G261" s="15"/>
      <c r="H261" s="15"/>
    </row>
    <row r="262" spans="1:25" x14ac:dyDescent="0.25">
      <c r="A262" t="s">
        <v>203</v>
      </c>
      <c r="B262" s="15" t="s">
        <v>201</v>
      </c>
      <c r="C262">
        <v>15</v>
      </c>
      <c r="G262" s="15"/>
      <c r="H262" s="15"/>
      <c r="K262" s="7" t="s">
        <v>1</v>
      </c>
      <c r="L262" s="8" t="s">
        <v>2</v>
      </c>
      <c r="M262" s="8" t="s">
        <v>194</v>
      </c>
      <c r="N262" s="33" t="s">
        <v>204</v>
      </c>
      <c r="O262" s="12" t="s">
        <v>205</v>
      </c>
    </row>
    <row r="263" spans="1:25" x14ac:dyDescent="0.25">
      <c r="A263" t="s">
        <v>203</v>
      </c>
      <c r="B263" t="s">
        <v>202</v>
      </c>
      <c r="C263">
        <v>5</v>
      </c>
      <c r="G263" s="15"/>
      <c r="H263" s="15" t="s">
        <v>132</v>
      </c>
      <c r="K263">
        <v>0.1</v>
      </c>
      <c r="L263">
        <v>700</v>
      </c>
      <c r="M263">
        <v>3000</v>
      </c>
    </row>
    <row r="264" spans="1:25" x14ac:dyDescent="0.25">
      <c r="A264" t="s">
        <v>203</v>
      </c>
      <c r="B264" t="s">
        <v>128</v>
      </c>
      <c r="C264" t="s">
        <v>207</v>
      </c>
      <c r="G264" s="15"/>
      <c r="H264" s="15" t="s">
        <v>133</v>
      </c>
      <c r="K264">
        <v>0.11</v>
      </c>
      <c r="L264">
        <v>1500</v>
      </c>
      <c r="M264">
        <v>13000</v>
      </c>
    </row>
    <row r="265" spans="1:25" x14ac:dyDescent="0.25">
      <c r="A265" t="s">
        <v>203</v>
      </c>
      <c r="G265" s="15"/>
      <c r="H265" s="15" t="s">
        <v>198</v>
      </c>
      <c r="K265">
        <v>0.11</v>
      </c>
      <c r="L265">
        <v>1800</v>
      </c>
      <c r="M265">
        <v>15000</v>
      </c>
    </row>
    <row r="266" spans="1:25" x14ac:dyDescent="0.25">
      <c r="A266" t="s">
        <v>203</v>
      </c>
      <c r="G266" s="15"/>
      <c r="H266" s="15" t="s">
        <v>135</v>
      </c>
      <c r="K266">
        <v>0.1</v>
      </c>
      <c r="L266">
        <v>-3</v>
      </c>
      <c r="M266">
        <v>4000</v>
      </c>
    </row>
    <row r="267" spans="1:25" x14ac:dyDescent="0.25">
      <c r="A267" t="s">
        <v>203</v>
      </c>
      <c r="G267" s="15"/>
      <c r="H267" s="15" t="s">
        <v>136</v>
      </c>
      <c r="K267">
        <v>0</v>
      </c>
      <c r="L267">
        <v>0</v>
      </c>
      <c r="M267">
        <v>0</v>
      </c>
    </row>
    <row r="268" spans="1:25" x14ac:dyDescent="0.25">
      <c r="A268" t="s">
        <v>203</v>
      </c>
      <c r="G268" s="15"/>
      <c r="H268" s="15" t="s">
        <v>69</v>
      </c>
      <c r="K268">
        <v>0.04</v>
      </c>
      <c r="L268" s="15">
        <v>42000</v>
      </c>
      <c r="M268" s="21">
        <v>200000</v>
      </c>
      <c r="N268" s="34" t="str">
        <f>TEXT(L268/86400,CHOOSE(MATCH(L268,{0,60,3600},1),":ss","m:ss","[h]:mm:ss"))</f>
        <v>11:40:00</v>
      </c>
      <c r="O268" s="11" t="str">
        <f>TEXT(M268/86400,CHOOSE(MATCH(M268,{0,60,3600},1),":ss","m:ss","[h]:mm:ss"))</f>
        <v>55:33:20</v>
      </c>
    </row>
    <row r="269" spans="1:25" x14ac:dyDescent="0.25">
      <c r="G269" s="15"/>
      <c r="H269" s="15"/>
      <c r="K269" s="15"/>
      <c r="L269" s="15"/>
      <c r="M269" s="15"/>
    </row>
    <row r="270" spans="1:25" x14ac:dyDescent="0.25">
      <c r="G270" s="15"/>
      <c r="H270" s="15"/>
      <c r="K270" s="15"/>
      <c r="L270" s="15"/>
      <c r="M270" s="15"/>
    </row>
    <row r="271" spans="1:25" x14ac:dyDescent="0.25">
      <c r="A271" t="s">
        <v>169</v>
      </c>
      <c r="B271">
        <v>2203</v>
      </c>
      <c r="C271">
        <v>0</v>
      </c>
      <c r="D271" t="s">
        <v>144</v>
      </c>
      <c r="E271" t="s">
        <v>145</v>
      </c>
      <c r="F271" s="16">
        <v>500</v>
      </c>
      <c r="G271" s="15">
        <v>0</v>
      </c>
      <c r="H271" s="15">
        <v>0</v>
      </c>
      <c r="I271" s="24">
        <v>0</v>
      </c>
      <c r="J271">
        <v>0</v>
      </c>
      <c r="K271">
        <v>0</v>
      </c>
      <c r="L271">
        <v>0</v>
      </c>
      <c r="M271">
        <v>0</v>
      </c>
      <c r="N271" s="16">
        <v>0</v>
      </c>
      <c r="O271">
        <v>0</v>
      </c>
      <c r="P271">
        <v>0</v>
      </c>
      <c r="Q271">
        <v>0</v>
      </c>
      <c r="R271">
        <v>0</v>
      </c>
      <c r="S271" s="21">
        <v>0</v>
      </c>
      <c r="T271">
        <v>0</v>
      </c>
      <c r="U271" t="s">
        <v>146</v>
      </c>
      <c r="V271" t="s">
        <v>147</v>
      </c>
      <c r="W271" s="37" t="s">
        <v>257</v>
      </c>
      <c r="X271" t="s">
        <v>149</v>
      </c>
      <c r="Y271">
        <v>0</v>
      </c>
    </row>
    <row r="272" spans="1:25" x14ac:dyDescent="0.25">
      <c r="A272" t="s">
        <v>169</v>
      </c>
      <c r="B272">
        <v>2203</v>
      </c>
      <c r="C272">
        <v>1</v>
      </c>
      <c r="D272" t="s">
        <v>144</v>
      </c>
      <c r="E272" t="s">
        <v>170</v>
      </c>
      <c r="F272" s="16">
        <f t="shared" ref="F272:F286" si="117">VLOOKUP($C$264,$C$4:$M$9,4,FALSE)*(LOOKUP($C$263,$B$13:$B$28,$C$13:$C$28)+LOOKUP($C272,$B$13:$B$28,$D$13:$D$28))</f>
        <v>1950</v>
      </c>
      <c r="G272" s="17">
        <f t="shared" ref="G272:G286" si="118">VLOOKUP($C$264,$C$4:$M$9,5,FALSE)*(LOOKUP($C$263,$B$13:$B$28,$C$13:$C$28)+LOOKUP($C272,$B$13:$B$28,$D$13:$D$28))</f>
        <v>23.4</v>
      </c>
      <c r="H272" s="15">
        <f t="shared" ref="H272:H286" si="119">VLOOKUP($C$264,$C$4:$M$9,6,FALSE)</f>
        <v>2</v>
      </c>
      <c r="I272" s="24">
        <f t="shared" ref="I272:I286" si="120">VLOOKUP($C$264,$C$4:$M$9,7,FALSE)*(LOOKUP($C$263,$B$13:$B$28,$C$13:$C$28)+LOOKUP($C272,$B$13:$B$28,$D$13:$D$28))</f>
        <v>15.600000000000001</v>
      </c>
      <c r="J272">
        <v>0</v>
      </c>
      <c r="K272">
        <f t="shared" ref="K272:K286" si="121">VLOOKUP($C$264,$C$4:$M$9,9,FALSE)</f>
        <v>4</v>
      </c>
      <c r="L272">
        <f t="shared" ref="L272:L286" si="122">VLOOKUP($C$264,$C$4:$M$9,10,FALSE)</f>
        <v>1</v>
      </c>
      <c r="M272">
        <v>0</v>
      </c>
      <c r="N272" s="35">
        <f>ROUND(GetValue($C272,$C$262,$K$263,$L$263,$M$263),-1)</f>
        <v>700</v>
      </c>
      <c r="O272" s="10">
        <f>ROUND(GetValue($C272,$C$262,$K$264,$L$264,$M$264),-1)</f>
        <v>1500</v>
      </c>
      <c r="P272" s="10">
        <f>ROUND(GetValue($C272,$C$262,$K$265,$L$265,$M$265),-1)</f>
        <v>1800</v>
      </c>
      <c r="Q272" s="10">
        <f>ROUND(GetValue($C272,$C$262,$K$266,$L$266,$M$266),-1)</f>
        <v>0</v>
      </c>
      <c r="R272" s="10">
        <f>ROUND(GetValue($C272,$C$262,$K$267,$L$267,$M$267),-1)</f>
        <v>0</v>
      </c>
      <c r="S272" s="36">
        <f>ROUND(GetValue($C272,$C$262,$K$268,$L$268,$M$268),-1)</f>
        <v>42000</v>
      </c>
      <c r="T272" s="37">
        <v>0</v>
      </c>
      <c r="U272" t="s">
        <v>146</v>
      </c>
      <c r="V272" t="s">
        <v>147</v>
      </c>
      <c r="W272" s="37" t="s">
        <v>257</v>
      </c>
      <c r="X272" t="s">
        <v>149</v>
      </c>
      <c r="Y272">
        <v>0</v>
      </c>
    </row>
    <row r="273" spans="1:25" x14ac:dyDescent="0.25">
      <c r="A273" t="s">
        <v>169</v>
      </c>
      <c r="B273">
        <v>2203</v>
      </c>
      <c r="C273">
        <v>2</v>
      </c>
      <c r="D273" t="s">
        <v>144</v>
      </c>
      <c r="E273" t="s">
        <v>170</v>
      </c>
      <c r="F273" s="16">
        <f t="shared" si="117"/>
        <v>2100</v>
      </c>
      <c r="G273" s="17">
        <f t="shared" si="118"/>
        <v>25.2</v>
      </c>
      <c r="H273" s="15">
        <f t="shared" si="119"/>
        <v>2</v>
      </c>
      <c r="I273" s="24">
        <f t="shared" si="120"/>
        <v>16.8</v>
      </c>
      <c r="J273">
        <v>0</v>
      </c>
      <c r="K273" s="37">
        <f t="shared" si="121"/>
        <v>4</v>
      </c>
      <c r="L273" s="37">
        <f t="shared" si="122"/>
        <v>1</v>
      </c>
      <c r="M273">
        <v>0</v>
      </c>
      <c r="N273" s="35">
        <f t="shared" ref="N273:N286" si="123">ROUND(GetValue($C273,$C$262,$K$263,$L$263,$M$263),-1)</f>
        <v>800</v>
      </c>
      <c r="O273" s="10">
        <f t="shared" ref="O273:O286" si="124">ROUND(GetValue($C273,$C$262,$K$264,$L$264,$M$264),-1)</f>
        <v>1860</v>
      </c>
      <c r="P273" s="10">
        <f t="shared" ref="P273:P286" si="125">ROUND(GetValue($C273,$C$262,$K$265,$L$265,$M$265),-1)</f>
        <v>2220</v>
      </c>
      <c r="Q273" s="10">
        <f t="shared" ref="Q273:Q286" si="126">ROUND(GetValue($C273,$C$262,$K$266,$L$266,$M$266),-1)</f>
        <v>0</v>
      </c>
      <c r="R273" s="10">
        <f t="shared" ref="R273:R286" si="127">ROUND(GetValue($C273,$C$262,$K$267,$L$267,$M$267),-1)</f>
        <v>0</v>
      </c>
      <c r="S273" s="36">
        <f t="shared" ref="S273:S286" si="128">ROUND(GetValue($C273,$C$262,$K$268,$L$268,$M$268),-1)</f>
        <v>47640</v>
      </c>
      <c r="T273" s="37">
        <v>0</v>
      </c>
      <c r="U273" t="s">
        <v>146</v>
      </c>
      <c r="V273" t="s">
        <v>147</v>
      </c>
      <c r="W273" s="37" t="s">
        <v>257</v>
      </c>
      <c r="X273" t="s">
        <v>149</v>
      </c>
      <c r="Y273">
        <v>0</v>
      </c>
    </row>
    <row r="274" spans="1:25" x14ac:dyDescent="0.25">
      <c r="A274" t="s">
        <v>169</v>
      </c>
      <c r="B274">
        <v>2203</v>
      </c>
      <c r="C274">
        <v>3</v>
      </c>
      <c r="D274" t="s">
        <v>144</v>
      </c>
      <c r="E274" t="s">
        <v>170</v>
      </c>
      <c r="F274" s="16">
        <f t="shared" si="117"/>
        <v>2350</v>
      </c>
      <c r="G274" s="17">
        <f t="shared" si="118"/>
        <v>28.2</v>
      </c>
      <c r="H274" s="15">
        <f t="shared" si="119"/>
        <v>2</v>
      </c>
      <c r="I274" s="24">
        <f t="shared" si="120"/>
        <v>18.8</v>
      </c>
      <c r="J274">
        <v>0</v>
      </c>
      <c r="K274" s="37">
        <f t="shared" si="121"/>
        <v>4</v>
      </c>
      <c r="L274" s="37">
        <f t="shared" si="122"/>
        <v>1</v>
      </c>
      <c r="M274">
        <v>0</v>
      </c>
      <c r="N274" s="35">
        <f t="shared" si="123"/>
        <v>900</v>
      </c>
      <c r="O274" s="10">
        <f t="shared" si="124"/>
        <v>2260</v>
      </c>
      <c r="P274" s="10">
        <f t="shared" si="125"/>
        <v>2690</v>
      </c>
      <c r="Q274" s="10">
        <f t="shared" si="126"/>
        <v>0</v>
      </c>
      <c r="R274" s="10">
        <f t="shared" si="127"/>
        <v>0</v>
      </c>
      <c r="S274" s="36">
        <f t="shared" si="128"/>
        <v>53510</v>
      </c>
      <c r="T274" s="37">
        <v>0</v>
      </c>
      <c r="U274" t="s">
        <v>146</v>
      </c>
      <c r="V274" t="s">
        <v>147</v>
      </c>
      <c r="W274" s="37" t="s">
        <v>257</v>
      </c>
      <c r="X274" t="s">
        <v>149</v>
      </c>
      <c r="Y274">
        <v>0</v>
      </c>
    </row>
    <row r="275" spans="1:25" x14ac:dyDescent="0.25">
      <c r="A275" t="s">
        <v>169</v>
      </c>
      <c r="B275">
        <v>2203</v>
      </c>
      <c r="C275">
        <v>4</v>
      </c>
      <c r="D275" t="s">
        <v>144</v>
      </c>
      <c r="E275" t="s">
        <v>170</v>
      </c>
      <c r="F275" s="16">
        <f t="shared" si="117"/>
        <v>2650</v>
      </c>
      <c r="G275" s="17">
        <f t="shared" si="118"/>
        <v>31.799999999999997</v>
      </c>
      <c r="H275" s="15">
        <f t="shared" si="119"/>
        <v>2</v>
      </c>
      <c r="I275" s="24">
        <f t="shared" si="120"/>
        <v>21.200000000000003</v>
      </c>
      <c r="J275">
        <v>0</v>
      </c>
      <c r="K275" s="37">
        <f t="shared" si="121"/>
        <v>4</v>
      </c>
      <c r="L275" s="37">
        <f t="shared" si="122"/>
        <v>1</v>
      </c>
      <c r="M275">
        <v>0</v>
      </c>
      <c r="N275" s="35">
        <f t="shared" si="123"/>
        <v>1020</v>
      </c>
      <c r="O275" s="10">
        <f t="shared" si="124"/>
        <v>2720</v>
      </c>
      <c r="P275" s="10">
        <f t="shared" si="125"/>
        <v>3210</v>
      </c>
      <c r="Q275" s="10">
        <f t="shared" si="126"/>
        <v>130</v>
      </c>
      <c r="R275" s="10">
        <f t="shared" si="127"/>
        <v>0</v>
      </c>
      <c r="S275" s="36">
        <f t="shared" si="128"/>
        <v>59620</v>
      </c>
      <c r="T275" s="37">
        <v>0</v>
      </c>
      <c r="U275" t="s">
        <v>146</v>
      </c>
      <c r="V275" t="s">
        <v>147</v>
      </c>
      <c r="W275" s="37" t="s">
        <v>257</v>
      </c>
      <c r="X275" t="s">
        <v>149</v>
      </c>
      <c r="Y275">
        <v>0</v>
      </c>
    </row>
    <row r="276" spans="1:25" x14ac:dyDescent="0.25">
      <c r="A276" t="s">
        <v>169</v>
      </c>
      <c r="B276">
        <v>2203</v>
      </c>
      <c r="C276">
        <v>5</v>
      </c>
      <c r="D276" t="s">
        <v>144</v>
      </c>
      <c r="E276" t="s">
        <v>170</v>
      </c>
      <c r="F276" s="16">
        <f t="shared" si="117"/>
        <v>2900</v>
      </c>
      <c r="G276" s="17">
        <f t="shared" si="118"/>
        <v>34.799999999999997</v>
      </c>
      <c r="H276" s="15">
        <f t="shared" si="119"/>
        <v>2</v>
      </c>
      <c r="I276" s="24">
        <f t="shared" si="120"/>
        <v>23.200000000000003</v>
      </c>
      <c r="J276">
        <v>0</v>
      </c>
      <c r="K276" s="37">
        <f t="shared" si="121"/>
        <v>4</v>
      </c>
      <c r="L276" s="37">
        <f t="shared" si="122"/>
        <v>1</v>
      </c>
      <c r="M276">
        <v>0</v>
      </c>
      <c r="N276" s="35">
        <f t="shared" si="123"/>
        <v>1150</v>
      </c>
      <c r="O276" s="10">
        <f t="shared" si="124"/>
        <v>3220</v>
      </c>
      <c r="P276" s="10">
        <f t="shared" si="125"/>
        <v>3790</v>
      </c>
      <c r="Q276" s="10">
        <f t="shared" si="126"/>
        <v>270</v>
      </c>
      <c r="R276" s="10">
        <f t="shared" si="127"/>
        <v>0</v>
      </c>
      <c r="S276" s="36">
        <f t="shared" si="128"/>
        <v>65980</v>
      </c>
      <c r="T276" s="37">
        <v>0</v>
      </c>
      <c r="U276" t="s">
        <v>146</v>
      </c>
      <c r="V276" t="s">
        <v>147</v>
      </c>
      <c r="W276" s="37" t="s">
        <v>257</v>
      </c>
      <c r="X276" t="s">
        <v>149</v>
      </c>
      <c r="Y276">
        <v>0</v>
      </c>
    </row>
    <row r="277" spans="1:25" x14ac:dyDescent="0.25">
      <c r="A277" t="s">
        <v>169</v>
      </c>
      <c r="B277">
        <v>2203</v>
      </c>
      <c r="C277">
        <v>6</v>
      </c>
      <c r="D277" t="s">
        <v>144</v>
      </c>
      <c r="E277" t="s">
        <v>170</v>
      </c>
      <c r="F277" s="16">
        <f t="shared" si="117"/>
        <v>3200</v>
      </c>
      <c r="G277" s="17">
        <f t="shared" si="118"/>
        <v>38.4</v>
      </c>
      <c r="H277" s="15">
        <f t="shared" si="119"/>
        <v>2</v>
      </c>
      <c r="I277" s="24">
        <f t="shared" si="120"/>
        <v>25.6</v>
      </c>
      <c r="J277">
        <v>0</v>
      </c>
      <c r="K277" s="37">
        <f t="shared" si="121"/>
        <v>4</v>
      </c>
      <c r="L277" s="37">
        <f t="shared" si="122"/>
        <v>1</v>
      </c>
      <c r="M277">
        <v>0</v>
      </c>
      <c r="N277" s="35">
        <f t="shared" si="123"/>
        <v>1290</v>
      </c>
      <c r="O277" s="10">
        <f t="shared" si="124"/>
        <v>3780</v>
      </c>
      <c r="P277" s="10">
        <f t="shared" si="125"/>
        <v>4440</v>
      </c>
      <c r="Q277" s="10">
        <f t="shared" si="126"/>
        <v>420</v>
      </c>
      <c r="R277" s="10">
        <f t="shared" si="127"/>
        <v>0</v>
      </c>
      <c r="S277" s="36">
        <f t="shared" si="128"/>
        <v>72610</v>
      </c>
      <c r="T277" s="37">
        <v>0</v>
      </c>
      <c r="U277" t="s">
        <v>146</v>
      </c>
      <c r="V277" t="s">
        <v>147</v>
      </c>
      <c r="W277" s="37" t="s">
        <v>257</v>
      </c>
      <c r="X277" t="s">
        <v>149</v>
      </c>
      <c r="Y277">
        <v>0</v>
      </c>
    </row>
    <row r="278" spans="1:25" x14ac:dyDescent="0.25">
      <c r="A278" t="s">
        <v>169</v>
      </c>
      <c r="B278">
        <v>2203</v>
      </c>
      <c r="C278">
        <v>7</v>
      </c>
      <c r="D278" t="s">
        <v>144</v>
      </c>
      <c r="E278" t="s">
        <v>170</v>
      </c>
      <c r="F278" s="16">
        <f t="shared" si="117"/>
        <v>3550</v>
      </c>
      <c r="G278" s="17">
        <f t="shared" si="118"/>
        <v>42.6</v>
      </c>
      <c r="H278" s="15">
        <f t="shared" si="119"/>
        <v>2</v>
      </c>
      <c r="I278" s="24">
        <f t="shared" si="120"/>
        <v>28.400000000000002</v>
      </c>
      <c r="J278">
        <v>0</v>
      </c>
      <c r="K278" s="37">
        <f t="shared" si="121"/>
        <v>4</v>
      </c>
      <c r="L278" s="37">
        <f t="shared" si="122"/>
        <v>1</v>
      </c>
      <c r="M278">
        <v>0</v>
      </c>
      <c r="N278" s="35">
        <f t="shared" si="123"/>
        <v>1450</v>
      </c>
      <c r="O278" s="10">
        <f t="shared" si="124"/>
        <v>4410</v>
      </c>
      <c r="P278" s="10">
        <f t="shared" si="125"/>
        <v>5170</v>
      </c>
      <c r="Q278" s="10">
        <f t="shared" si="126"/>
        <v>590</v>
      </c>
      <c r="R278" s="10">
        <f t="shared" si="127"/>
        <v>0</v>
      </c>
      <c r="S278" s="36">
        <f t="shared" si="128"/>
        <v>79500</v>
      </c>
      <c r="T278" s="37">
        <v>0</v>
      </c>
      <c r="U278" t="s">
        <v>146</v>
      </c>
      <c r="V278" t="s">
        <v>147</v>
      </c>
      <c r="W278" s="37" t="s">
        <v>257</v>
      </c>
      <c r="X278" t="s">
        <v>149</v>
      </c>
      <c r="Y278">
        <v>0</v>
      </c>
    </row>
    <row r="279" spans="1:25" x14ac:dyDescent="0.25">
      <c r="A279" t="s">
        <v>169</v>
      </c>
      <c r="B279">
        <v>2203</v>
      </c>
      <c r="C279">
        <v>8</v>
      </c>
      <c r="D279" t="s">
        <v>144</v>
      </c>
      <c r="E279" t="s">
        <v>170</v>
      </c>
      <c r="F279" s="16">
        <f t="shared" si="117"/>
        <v>3900</v>
      </c>
      <c r="G279" s="17">
        <f t="shared" si="118"/>
        <v>46.8</v>
      </c>
      <c r="H279" s="15">
        <f t="shared" si="119"/>
        <v>2</v>
      </c>
      <c r="I279" s="24">
        <f t="shared" si="120"/>
        <v>31.200000000000003</v>
      </c>
      <c r="J279">
        <v>0</v>
      </c>
      <c r="K279" s="37">
        <f t="shared" si="121"/>
        <v>4</v>
      </c>
      <c r="L279" s="37">
        <f t="shared" si="122"/>
        <v>1</v>
      </c>
      <c r="M279">
        <v>0</v>
      </c>
      <c r="N279" s="35">
        <f t="shared" si="123"/>
        <v>1620</v>
      </c>
      <c r="O279" s="10">
        <f t="shared" si="124"/>
        <v>5110</v>
      </c>
      <c r="P279" s="10">
        <f t="shared" si="125"/>
        <v>5980</v>
      </c>
      <c r="Q279" s="10">
        <f t="shared" si="126"/>
        <v>780</v>
      </c>
      <c r="R279" s="10">
        <f t="shared" si="127"/>
        <v>0</v>
      </c>
      <c r="S279" s="36">
        <f t="shared" si="128"/>
        <v>86670</v>
      </c>
      <c r="T279" s="37">
        <v>0</v>
      </c>
      <c r="U279" t="s">
        <v>146</v>
      </c>
      <c r="V279" t="s">
        <v>147</v>
      </c>
      <c r="W279" s="37" t="s">
        <v>257</v>
      </c>
      <c r="X279" t="s">
        <v>149</v>
      </c>
      <c r="Y279">
        <v>0</v>
      </c>
    </row>
    <row r="280" spans="1:25" x14ac:dyDescent="0.25">
      <c r="A280" t="s">
        <v>169</v>
      </c>
      <c r="B280">
        <v>2203</v>
      </c>
      <c r="C280">
        <v>9</v>
      </c>
      <c r="D280" t="s">
        <v>144</v>
      </c>
      <c r="E280" t="s">
        <v>170</v>
      </c>
      <c r="F280" s="16">
        <f t="shared" si="117"/>
        <v>4300</v>
      </c>
      <c r="G280" s="17">
        <f t="shared" si="118"/>
        <v>51.6</v>
      </c>
      <c r="H280" s="15">
        <f t="shared" si="119"/>
        <v>2</v>
      </c>
      <c r="I280" s="24">
        <f t="shared" si="120"/>
        <v>34.4</v>
      </c>
      <c r="J280">
        <v>0</v>
      </c>
      <c r="K280" s="37">
        <f t="shared" si="121"/>
        <v>4</v>
      </c>
      <c r="L280" s="37">
        <f t="shared" si="122"/>
        <v>1</v>
      </c>
      <c r="M280">
        <v>0</v>
      </c>
      <c r="N280" s="35">
        <f t="shared" si="123"/>
        <v>1820</v>
      </c>
      <c r="O280" s="10">
        <f t="shared" si="124"/>
        <v>5890</v>
      </c>
      <c r="P280" s="10">
        <f t="shared" si="125"/>
        <v>6880</v>
      </c>
      <c r="Q280" s="10">
        <f t="shared" si="126"/>
        <v>990</v>
      </c>
      <c r="R280" s="10">
        <f t="shared" si="127"/>
        <v>0</v>
      </c>
      <c r="S280" s="36">
        <f t="shared" si="128"/>
        <v>94130</v>
      </c>
      <c r="T280" s="37">
        <v>0</v>
      </c>
      <c r="U280" t="s">
        <v>146</v>
      </c>
      <c r="V280" t="s">
        <v>147</v>
      </c>
      <c r="W280" s="37" t="s">
        <v>257</v>
      </c>
      <c r="X280" t="s">
        <v>149</v>
      </c>
      <c r="Y280">
        <v>0</v>
      </c>
    </row>
    <row r="281" spans="1:25" x14ac:dyDescent="0.25">
      <c r="A281" t="s">
        <v>169</v>
      </c>
      <c r="B281">
        <v>2203</v>
      </c>
      <c r="C281">
        <v>10</v>
      </c>
      <c r="D281" t="s">
        <v>144</v>
      </c>
      <c r="E281" t="s">
        <v>170</v>
      </c>
      <c r="F281" s="16">
        <f t="shared" si="117"/>
        <v>4750</v>
      </c>
      <c r="G281" s="17">
        <f t="shared" si="118"/>
        <v>57</v>
      </c>
      <c r="H281" s="15">
        <f t="shared" si="119"/>
        <v>2</v>
      </c>
      <c r="I281" s="24">
        <f t="shared" si="120"/>
        <v>38</v>
      </c>
      <c r="J281">
        <v>0</v>
      </c>
      <c r="K281" s="37">
        <f t="shared" si="121"/>
        <v>4</v>
      </c>
      <c r="L281" s="37">
        <f t="shared" si="122"/>
        <v>1</v>
      </c>
      <c r="M281">
        <v>0</v>
      </c>
      <c r="N281" s="35">
        <f t="shared" si="123"/>
        <v>2030</v>
      </c>
      <c r="O281" s="10">
        <f t="shared" si="124"/>
        <v>6760</v>
      </c>
      <c r="P281" s="10">
        <f t="shared" si="125"/>
        <v>7890</v>
      </c>
      <c r="Q281" s="10">
        <f t="shared" si="126"/>
        <v>1220</v>
      </c>
      <c r="R281" s="10">
        <f t="shared" si="127"/>
        <v>0</v>
      </c>
      <c r="S281" s="36">
        <f t="shared" si="128"/>
        <v>101900</v>
      </c>
      <c r="T281" s="37">
        <v>0</v>
      </c>
      <c r="U281" t="s">
        <v>146</v>
      </c>
      <c r="V281" t="s">
        <v>147</v>
      </c>
      <c r="W281" s="37" t="s">
        <v>257</v>
      </c>
      <c r="X281" t="s">
        <v>149</v>
      </c>
      <c r="Y281">
        <v>0</v>
      </c>
    </row>
    <row r="282" spans="1:25" x14ac:dyDescent="0.25">
      <c r="A282" t="s">
        <v>169</v>
      </c>
      <c r="B282">
        <v>2203</v>
      </c>
      <c r="C282">
        <v>11</v>
      </c>
      <c r="D282" t="s">
        <v>144</v>
      </c>
      <c r="E282" t="s">
        <v>170</v>
      </c>
      <c r="F282" s="16">
        <f t="shared" si="117"/>
        <v>5200</v>
      </c>
      <c r="G282" s="17">
        <f t="shared" si="118"/>
        <v>62.4</v>
      </c>
      <c r="H282" s="15">
        <f t="shared" si="119"/>
        <v>2</v>
      </c>
      <c r="I282" s="24">
        <f t="shared" si="120"/>
        <v>41.6</v>
      </c>
      <c r="J282">
        <v>0</v>
      </c>
      <c r="K282" s="37">
        <f t="shared" si="121"/>
        <v>4</v>
      </c>
      <c r="L282" s="37">
        <f t="shared" si="122"/>
        <v>1</v>
      </c>
      <c r="M282">
        <v>0</v>
      </c>
      <c r="N282" s="35">
        <f t="shared" si="123"/>
        <v>2270</v>
      </c>
      <c r="O282" s="10">
        <f t="shared" si="124"/>
        <v>7730</v>
      </c>
      <c r="P282" s="10">
        <f t="shared" si="125"/>
        <v>9020</v>
      </c>
      <c r="Q282" s="10">
        <f t="shared" si="126"/>
        <v>1480</v>
      </c>
      <c r="R282" s="10">
        <f t="shared" si="127"/>
        <v>0</v>
      </c>
      <c r="S282" s="36">
        <f t="shared" si="128"/>
        <v>109990</v>
      </c>
      <c r="T282" s="37">
        <v>0</v>
      </c>
      <c r="U282" t="s">
        <v>146</v>
      </c>
      <c r="V282" t="s">
        <v>147</v>
      </c>
      <c r="W282" s="37" t="s">
        <v>257</v>
      </c>
      <c r="X282" t="s">
        <v>149</v>
      </c>
      <c r="Y282">
        <v>0</v>
      </c>
    </row>
    <row r="283" spans="1:25" x14ac:dyDescent="0.25">
      <c r="A283" t="s">
        <v>169</v>
      </c>
      <c r="B283">
        <v>2203</v>
      </c>
      <c r="C283">
        <v>12</v>
      </c>
      <c r="D283" t="s">
        <v>144</v>
      </c>
      <c r="E283" t="s">
        <v>170</v>
      </c>
      <c r="F283" s="16">
        <f t="shared" si="117"/>
        <v>5700</v>
      </c>
      <c r="G283" s="17">
        <f t="shared" si="118"/>
        <v>68.399999999999991</v>
      </c>
      <c r="H283" s="15">
        <f t="shared" si="119"/>
        <v>2</v>
      </c>
      <c r="I283" s="24">
        <f t="shared" si="120"/>
        <v>45.6</v>
      </c>
      <c r="J283">
        <v>0</v>
      </c>
      <c r="K283" s="37">
        <f t="shared" si="121"/>
        <v>4</v>
      </c>
      <c r="L283" s="37">
        <f t="shared" si="122"/>
        <v>1</v>
      </c>
      <c r="M283">
        <v>0</v>
      </c>
      <c r="N283" s="35">
        <f t="shared" si="123"/>
        <v>2530</v>
      </c>
      <c r="O283" s="10">
        <f t="shared" si="124"/>
        <v>8820</v>
      </c>
      <c r="P283" s="10">
        <f t="shared" si="125"/>
        <v>10280</v>
      </c>
      <c r="Q283" s="10">
        <f t="shared" si="126"/>
        <v>1760</v>
      </c>
      <c r="R283" s="10">
        <f t="shared" si="127"/>
        <v>0</v>
      </c>
      <c r="S283" s="36">
        <f t="shared" si="128"/>
        <v>118400</v>
      </c>
      <c r="T283" s="37">
        <v>0</v>
      </c>
      <c r="U283" t="s">
        <v>146</v>
      </c>
      <c r="V283" t="s">
        <v>147</v>
      </c>
      <c r="W283" s="37" t="s">
        <v>257</v>
      </c>
      <c r="X283" t="s">
        <v>149</v>
      </c>
      <c r="Y283">
        <v>0</v>
      </c>
    </row>
    <row r="284" spans="1:25" x14ac:dyDescent="0.25">
      <c r="A284" t="s">
        <v>169</v>
      </c>
      <c r="B284">
        <v>2203</v>
      </c>
      <c r="C284">
        <v>13</v>
      </c>
      <c r="D284" t="s">
        <v>144</v>
      </c>
      <c r="E284" t="s">
        <v>170</v>
      </c>
      <c r="F284" s="16">
        <f t="shared" si="117"/>
        <v>6250</v>
      </c>
      <c r="G284" s="17">
        <f t="shared" si="118"/>
        <v>75</v>
      </c>
      <c r="H284" s="15">
        <f t="shared" si="119"/>
        <v>2</v>
      </c>
      <c r="I284" s="24">
        <f t="shared" si="120"/>
        <v>50</v>
      </c>
      <c r="J284">
        <v>0</v>
      </c>
      <c r="K284" s="37">
        <f t="shared" si="121"/>
        <v>4</v>
      </c>
      <c r="L284" s="37">
        <f t="shared" si="122"/>
        <v>1</v>
      </c>
      <c r="M284">
        <v>0</v>
      </c>
      <c r="N284" s="35">
        <f t="shared" si="123"/>
        <v>2820</v>
      </c>
      <c r="O284" s="10">
        <f t="shared" si="124"/>
        <v>10030</v>
      </c>
      <c r="P284" s="10">
        <f t="shared" si="125"/>
        <v>11680</v>
      </c>
      <c r="Q284" s="10">
        <f t="shared" si="126"/>
        <v>2070</v>
      </c>
      <c r="R284" s="10">
        <f t="shared" si="127"/>
        <v>0</v>
      </c>
      <c r="S284" s="36">
        <f t="shared" si="128"/>
        <v>127160</v>
      </c>
      <c r="T284" s="37">
        <v>0</v>
      </c>
      <c r="U284" t="s">
        <v>146</v>
      </c>
      <c r="V284" t="s">
        <v>147</v>
      </c>
      <c r="W284" s="37" t="s">
        <v>257</v>
      </c>
      <c r="X284" t="s">
        <v>149</v>
      </c>
      <c r="Y284">
        <v>0</v>
      </c>
    </row>
    <row r="285" spans="1:25" x14ac:dyDescent="0.25">
      <c r="A285" t="s">
        <v>169</v>
      </c>
      <c r="B285">
        <v>2203</v>
      </c>
      <c r="C285">
        <v>14</v>
      </c>
      <c r="D285" t="s">
        <v>144</v>
      </c>
      <c r="E285" t="s">
        <v>170</v>
      </c>
      <c r="F285" s="16">
        <f t="shared" si="117"/>
        <v>6800</v>
      </c>
      <c r="G285" s="17">
        <f t="shared" si="118"/>
        <v>81.599999999999994</v>
      </c>
      <c r="H285" s="15">
        <f t="shared" si="119"/>
        <v>2</v>
      </c>
      <c r="I285" s="24">
        <f t="shared" si="120"/>
        <v>54.400000000000006</v>
      </c>
      <c r="J285">
        <v>0</v>
      </c>
      <c r="K285" s="37">
        <f t="shared" si="121"/>
        <v>4</v>
      </c>
      <c r="L285" s="37">
        <f t="shared" si="122"/>
        <v>1</v>
      </c>
      <c r="M285">
        <v>0</v>
      </c>
      <c r="N285" s="35">
        <f t="shared" si="123"/>
        <v>3140</v>
      </c>
      <c r="O285" s="10">
        <f t="shared" si="124"/>
        <v>11380</v>
      </c>
      <c r="P285" s="10">
        <f t="shared" si="125"/>
        <v>13250</v>
      </c>
      <c r="Q285" s="10">
        <f t="shared" si="126"/>
        <v>2410</v>
      </c>
      <c r="R285" s="10">
        <f t="shared" si="127"/>
        <v>0</v>
      </c>
      <c r="S285" s="36">
        <f t="shared" si="128"/>
        <v>136280</v>
      </c>
      <c r="T285" s="37">
        <v>0</v>
      </c>
      <c r="U285" t="s">
        <v>146</v>
      </c>
      <c r="V285" t="s">
        <v>147</v>
      </c>
      <c r="W285" s="37" t="s">
        <v>257</v>
      </c>
      <c r="X285" t="s">
        <v>149</v>
      </c>
      <c r="Y285">
        <v>0</v>
      </c>
    </row>
    <row r="286" spans="1:25" x14ac:dyDescent="0.25">
      <c r="A286" t="s">
        <v>169</v>
      </c>
      <c r="B286">
        <v>2203</v>
      </c>
      <c r="C286">
        <v>15</v>
      </c>
      <c r="D286" t="s">
        <v>144</v>
      </c>
      <c r="E286" t="s">
        <v>170</v>
      </c>
      <c r="F286" s="16">
        <f t="shared" si="117"/>
        <v>7450</v>
      </c>
      <c r="G286" s="17">
        <f t="shared" si="118"/>
        <v>89.399999999999991</v>
      </c>
      <c r="H286" s="15">
        <f t="shared" si="119"/>
        <v>2</v>
      </c>
      <c r="I286" s="24">
        <f t="shared" si="120"/>
        <v>59.6</v>
      </c>
      <c r="J286">
        <v>0</v>
      </c>
      <c r="K286" s="37">
        <f t="shared" si="121"/>
        <v>4</v>
      </c>
      <c r="L286" s="37">
        <f t="shared" si="122"/>
        <v>1</v>
      </c>
      <c r="M286">
        <v>0</v>
      </c>
      <c r="N286" s="35">
        <f t="shared" si="123"/>
        <v>3490</v>
      </c>
      <c r="O286" s="10">
        <f t="shared" si="124"/>
        <v>12890</v>
      </c>
      <c r="P286" s="10">
        <f t="shared" si="125"/>
        <v>15000</v>
      </c>
      <c r="Q286" s="10">
        <f t="shared" si="126"/>
        <v>2800</v>
      </c>
      <c r="R286" s="10">
        <f t="shared" si="127"/>
        <v>0</v>
      </c>
      <c r="S286" s="36">
        <f t="shared" si="128"/>
        <v>145770</v>
      </c>
      <c r="T286" s="37">
        <v>0</v>
      </c>
      <c r="U286" t="s">
        <v>146</v>
      </c>
      <c r="V286" t="s">
        <v>147</v>
      </c>
      <c r="W286" s="37" t="s">
        <v>257</v>
      </c>
      <c r="X286" t="s">
        <v>149</v>
      </c>
      <c r="Y286">
        <v>0</v>
      </c>
    </row>
    <row r="287" spans="1:25" x14ac:dyDescent="0.25">
      <c r="G287" s="15"/>
      <c r="H287" s="15"/>
    </row>
    <row r="288" spans="1:25" x14ac:dyDescent="0.25">
      <c r="A288" t="s">
        <v>203</v>
      </c>
      <c r="B288" s="15" t="s">
        <v>201</v>
      </c>
      <c r="C288">
        <v>15</v>
      </c>
      <c r="G288" s="15"/>
      <c r="H288" s="15"/>
      <c r="K288" s="7" t="s">
        <v>1</v>
      </c>
      <c r="L288" s="8" t="s">
        <v>2</v>
      </c>
      <c r="M288" s="8" t="s">
        <v>194</v>
      </c>
      <c r="N288" s="33" t="s">
        <v>204</v>
      </c>
      <c r="O288" s="12" t="s">
        <v>205</v>
      </c>
    </row>
    <row r="289" spans="1:25" x14ac:dyDescent="0.25">
      <c r="A289" t="s">
        <v>203</v>
      </c>
      <c r="B289" t="s">
        <v>202</v>
      </c>
      <c r="C289">
        <v>3</v>
      </c>
      <c r="G289" s="15"/>
      <c r="H289" s="15" t="s">
        <v>132</v>
      </c>
      <c r="K289">
        <v>0.08</v>
      </c>
      <c r="L289">
        <v>-5</v>
      </c>
      <c r="M289">
        <v>10000</v>
      </c>
    </row>
    <row r="290" spans="1:25" x14ac:dyDescent="0.25">
      <c r="A290" t="s">
        <v>203</v>
      </c>
      <c r="B290" t="s">
        <v>128</v>
      </c>
      <c r="C290" t="s">
        <v>120</v>
      </c>
      <c r="G290" s="15"/>
      <c r="H290" s="15" t="s">
        <v>133</v>
      </c>
      <c r="K290">
        <v>0.21</v>
      </c>
      <c r="L290">
        <v>300</v>
      </c>
      <c r="M290">
        <v>17000</v>
      </c>
    </row>
    <row r="291" spans="1:25" x14ac:dyDescent="0.25">
      <c r="A291" t="s">
        <v>203</v>
      </c>
      <c r="G291" s="15"/>
      <c r="H291" s="15" t="s">
        <v>198</v>
      </c>
      <c r="K291">
        <v>0.22</v>
      </c>
      <c r="L291">
        <v>270</v>
      </c>
      <c r="M291">
        <v>18000</v>
      </c>
    </row>
    <row r="292" spans="1:25" x14ac:dyDescent="0.25">
      <c r="A292" t="s">
        <v>203</v>
      </c>
      <c r="G292" s="15"/>
      <c r="H292" s="15" t="s">
        <v>135</v>
      </c>
      <c r="K292">
        <v>0.1</v>
      </c>
      <c r="L292">
        <v>-9</v>
      </c>
      <c r="M292">
        <v>2000</v>
      </c>
    </row>
    <row r="293" spans="1:25" x14ac:dyDescent="0.25">
      <c r="A293" t="s">
        <v>203</v>
      </c>
      <c r="G293" s="15"/>
      <c r="H293" s="15" t="s">
        <v>136</v>
      </c>
      <c r="K293" s="15">
        <v>0</v>
      </c>
      <c r="L293" s="15">
        <v>0</v>
      </c>
      <c r="M293" s="15">
        <v>0</v>
      </c>
    </row>
    <row r="294" spans="1:25" x14ac:dyDescent="0.25">
      <c r="A294" t="s">
        <v>203</v>
      </c>
      <c r="G294" s="15"/>
      <c r="H294" s="15" t="s">
        <v>69</v>
      </c>
      <c r="K294">
        <v>0.1</v>
      </c>
      <c r="L294" s="3">
        <v>3600</v>
      </c>
      <c r="M294" s="3">
        <f>3600*33</f>
        <v>118800</v>
      </c>
      <c r="N294" s="34" t="str">
        <f>TEXT(L294/86400,CHOOSE(MATCH(L294,{0,60,3600},1),":ss","m:ss","[h]:mm:ss"))</f>
        <v>1:00:00</v>
      </c>
      <c r="O294" s="11" t="str">
        <f>TEXT(M294/86400,CHOOSE(MATCH(M294,{0,60,3600},1),":ss","m:ss","[h]:mm:ss"))</f>
        <v>33:00:00</v>
      </c>
    </row>
    <row r="295" spans="1:25" s="37" customFormat="1" x14ac:dyDescent="0.25">
      <c r="A295" s="37" t="s">
        <v>203</v>
      </c>
      <c r="F295" s="16"/>
      <c r="G295" s="15"/>
      <c r="H295" s="15" t="s">
        <v>142</v>
      </c>
      <c r="I295" s="24"/>
      <c r="K295" s="15">
        <v>0.1</v>
      </c>
      <c r="L295" s="15">
        <v>20</v>
      </c>
      <c r="M295" s="15">
        <v>300</v>
      </c>
      <c r="N295" s="16"/>
      <c r="S295" s="21"/>
    </row>
    <row r="296" spans="1:25" s="37" customFormat="1" x14ac:dyDescent="0.25">
      <c r="F296" s="16"/>
      <c r="G296" s="15"/>
      <c r="H296" s="15"/>
      <c r="I296" s="24"/>
      <c r="K296" s="15"/>
      <c r="L296" s="15"/>
      <c r="M296" s="15"/>
      <c r="N296" s="16"/>
      <c r="S296" s="21"/>
    </row>
    <row r="297" spans="1:25" x14ac:dyDescent="0.25">
      <c r="A297" t="s">
        <v>171</v>
      </c>
      <c r="B297">
        <v>2301</v>
      </c>
      <c r="C297">
        <v>0</v>
      </c>
      <c r="D297" t="s">
        <v>144</v>
      </c>
      <c r="E297" t="s">
        <v>145</v>
      </c>
      <c r="F297" s="16">
        <v>500</v>
      </c>
      <c r="G297" s="15">
        <v>0</v>
      </c>
      <c r="H297" s="15">
        <v>0</v>
      </c>
      <c r="I297" s="24">
        <v>0</v>
      </c>
      <c r="J297">
        <v>0</v>
      </c>
      <c r="K297">
        <v>0</v>
      </c>
      <c r="L297">
        <v>0</v>
      </c>
      <c r="M297">
        <v>0</v>
      </c>
      <c r="N297" s="16">
        <v>0</v>
      </c>
      <c r="O297">
        <v>0</v>
      </c>
      <c r="P297">
        <v>0</v>
      </c>
      <c r="Q297">
        <v>0</v>
      </c>
      <c r="R297">
        <v>0</v>
      </c>
      <c r="S297" s="21">
        <v>0</v>
      </c>
      <c r="T297">
        <v>0</v>
      </c>
      <c r="U297" t="s">
        <v>146</v>
      </c>
      <c r="V297" t="s">
        <v>147</v>
      </c>
      <c r="W297" s="37" t="s">
        <v>257</v>
      </c>
      <c r="X297" t="s">
        <v>149</v>
      </c>
      <c r="Y297">
        <v>0</v>
      </c>
    </row>
    <row r="298" spans="1:25" x14ac:dyDescent="0.25">
      <c r="A298" t="s">
        <v>171</v>
      </c>
      <c r="B298">
        <v>2301</v>
      </c>
      <c r="C298">
        <v>1</v>
      </c>
      <c r="D298" t="s">
        <v>144</v>
      </c>
      <c r="E298" t="s">
        <v>172</v>
      </c>
      <c r="F298" s="16">
        <f t="shared" ref="F298:F312" si="129">VLOOKUP($C$290,$C$4:$M$9,4,FALSE)*(LOOKUP($C$289,$B$13:$B$28,$C$13:$C$28)+LOOKUP($C298,$B$13:$B$28,$D$13:$D$28))</f>
        <v>2240</v>
      </c>
      <c r="G298" s="17">
        <f t="shared" ref="G298:G312" si="130">VLOOKUP($C$290,$C$4:$M$9,5,FALSE)*(LOOKUP($C$289,$B$13:$B$28,$C$13:$C$28)+LOOKUP($C298,$B$13:$B$28,$D$13:$D$28))</f>
        <v>16.8</v>
      </c>
      <c r="H298" s="15">
        <f>VLOOKUP($C$290,$C$4:$M$9,6,FALSE)</f>
        <v>1</v>
      </c>
      <c r="I298" s="24">
        <f t="shared" ref="I298:I312" si="131">VLOOKUP($C$290,$C$4:$M$9,7,FALSE)*(LOOKUP($C$289,$B$13:$B$28,$C$13:$C$28)+LOOKUP($C298,$B$13:$B$28,$D$13:$D$28))</f>
        <v>11.200000000000001</v>
      </c>
      <c r="J298">
        <v>0</v>
      </c>
      <c r="K298">
        <f t="shared" ref="K298:K312" si="132">VLOOKUP($C$290,$C$4:$M$9,9,FALSE)</f>
        <v>4</v>
      </c>
      <c r="L298">
        <f t="shared" ref="L298:L312" si="133">VLOOKUP($C$290,$C$4:$M$9,10,FALSE)</f>
        <v>1</v>
      </c>
      <c r="M298">
        <v>0</v>
      </c>
      <c r="N298" s="35">
        <f>ROUND(GetValue($C298,$C$288,$K$289,$L$289,$M$289),-1)</f>
        <v>0</v>
      </c>
      <c r="O298" s="18">
        <f>ROUND(GetValue($C298,$C$288,$K$290,$L$290,$M$290),-1)</f>
        <v>300</v>
      </c>
      <c r="P298" s="18">
        <f>ROUND(GetValue($C298,$C$288,$K$291,$L$291,$M$291),-1)</f>
        <v>270</v>
      </c>
      <c r="Q298" s="18">
        <f>ROUND(GetValue($C298,$C$288,$K$292,$L$292,$M$292),-1)</f>
        <v>0</v>
      </c>
      <c r="R298" s="18">
        <f>ROUND(GetValue($C298,$C$288,$K$293,$L$293,$M$293),-1)</f>
        <v>0</v>
      </c>
      <c r="S298" s="36">
        <f>ROUND(GetValue($C298,$C$288,$K$294,$L$294,$M$294),-1)</f>
        <v>3600</v>
      </c>
      <c r="T298" s="37">
        <v>0</v>
      </c>
      <c r="U298" t="s">
        <v>146</v>
      </c>
      <c r="V298" t="s">
        <v>147</v>
      </c>
      <c r="W298" s="37" t="s">
        <v>257</v>
      </c>
      <c r="X298" t="s">
        <v>149</v>
      </c>
      <c r="Y298" s="10">
        <f>ROUND(GetValue($C298,$C$262,$K$295,$L$295,$M$295),0)</f>
        <v>20</v>
      </c>
    </row>
    <row r="299" spans="1:25" x14ac:dyDescent="0.25">
      <c r="A299" t="s">
        <v>171</v>
      </c>
      <c r="B299">
        <v>2301</v>
      </c>
      <c r="C299">
        <v>2</v>
      </c>
      <c r="D299" t="s">
        <v>144</v>
      </c>
      <c r="E299" t="s">
        <v>172</v>
      </c>
      <c r="F299" s="16">
        <f t="shared" si="129"/>
        <v>2480</v>
      </c>
      <c r="G299" s="17">
        <f t="shared" si="130"/>
        <v>18.599999999999998</v>
      </c>
      <c r="H299" s="15">
        <f>H298</f>
        <v>1</v>
      </c>
      <c r="I299" s="24">
        <f t="shared" si="131"/>
        <v>12.4</v>
      </c>
      <c r="J299">
        <v>0</v>
      </c>
      <c r="K299" s="37">
        <f t="shared" si="132"/>
        <v>4</v>
      </c>
      <c r="L299" s="37">
        <f t="shared" si="133"/>
        <v>1</v>
      </c>
      <c r="M299">
        <v>0</v>
      </c>
      <c r="N299" s="35">
        <f t="shared" ref="N299:N312" si="134">ROUND(GetValue($C299,$C$288,$K$289,$L$289,$M$289),-1)</f>
        <v>0</v>
      </c>
      <c r="O299" s="18">
        <f t="shared" ref="O299:O312" si="135">ROUND(GetValue($C299,$C$288,$K$290,$L$290,$M$290),-1)</f>
        <v>510</v>
      </c>
      <c r="P299" s="18">
        <f t="shared" ref="P299:P312" si="136">ROUND(GetValue($C299,$C$288,$K$291,$L$291,$M$291),-1)</f>
        <v>480</v>
      </c>
      <c r="Q299" s="18">
        <f t="shared" ref="Q299:Q312" si="137">ROUND(GetValue($C299,$C$288,$K$292,$L$292,$M$292),-1)</f>
        <v>0</v>
      </c>
      <c r="R299" s="18">
        <f t="shared" ref="R299:R312" si="138">ROUND(GetValue($C299,$C$288,$K$293,$L$293,$M$293),-1)</f>
        <v>0</v>
      </c>
      <c r="S299" s="36">
        <f t="shared" ref="S299:S312" si="139">ROUND(GetValue($C299,$C$288,$K$294,$L$294,$M$294),-1)</f>
        <v>6770</v>
      </c>
      <c r="T299" s="37">
        <v>0</v>
      </c>
      <c r="U299" t="s">
        <v>146</v>
      </c>
      <c r="V299" t="s">
        <v>147</v>
      </c>
      <c r="W299" s="37" t="s">
        <v>257</v>
      </c>
      <c r="X299" t="s">
        <v>149</v>
      </c>
      <c r="Y299" s="10">
        <f t="shared" ref="Y299:Y312" si="140">ROUND(GetValue($C299,$C$262,$K$295,$L$295,$M$295),0)</f>
        <v>28</v>
      </c>
    </row>
    <row r="300" spans="1:25" x14ac:dyDescent="0.25">
      <c r="A300" t="s">
        <v>171</v>
      </c>
      <c r="B300">
        <v>2301</v>
      </c>
      <c r="C300">
        <v>3</v>
      </c>
      <c r="D300" t="s">
        <v>144</v>
      </c>
      <c r="E300" t="s">
        <v>172</v>
      </c>
      <c r="F300" s="16">
        <f t="shared" si="129"/>
        <v>2880</v>
      </c>
      <c r="G300" s="17">
        <f t="shared" si="130"/>
        <v>21.599999999999998</v>
      </c>
      <c r="H300" s="15">
        <f t="shared" ref="H300:H312" si="141">H299</f>
        <v>1</v>
      </c>
      <c r="I300" s="24">
        <f t="shared" si="131"/>
        <v>14.4</v>
      </c>
      <c r="J300">
        <v>0</v>
      </c>
      <c r="K300" s="37">
        <f t="shared" si="132"/>
        <v>4</v>
      </c>
      <c r="L300" s="37">
        <f t="shared" si="133"/>
        <v>1</v>
      </c>
      <c r="M300">
        <v>0</v>
      </c>
      <c r="N300" s="35">
        <f t="shared" si="134"/>
        <v>0</v>
      </c>
      <c r="O300" s="18">
        <f t="shared" si="135"/>
        <v>780</v>
      </c>
      <c r="P300" s="18">
        <f t="shared" si="136"/>
        <v>730</v>
      </c>
      <c r="Q300" s="18">
        <f t="shared" si="137"/>
        <v>0</v>
      </c>
      <c r="R300" s="18">
        <f t="shared" si="138"/>
        <v>0</v>
      </c>
      <c r="S300" s="36">
        <f t="shared" si="139"/>
        <v>10280</v>
      </c>
      <c r="T300" s="37">
        <v>0</v>
      </c>
      <c r="U300" t="s">
        <v>146</v>
      </c>
      <c r="V300" t="s">
        <v>147</v>
      </c>
      <c r="W300" s="37" t="s">
        <v>257</v>
      </c>
      <c r="X300" t="s">
        <v>149</v>
      </c>
      <c r="Y300" s="10">
        <f t="shared" si="140"/>
        <v>37</v>
      </c>
    </row>
    <row r="301" spans="1:25" x14ac:dyDescent="0.25">
      <c r="A301" t="s">
        <v>171</v>
      </c>
      <c r="B301">
        <v>2301</v>
      </c>
      <c r="C301">
        <v>4</v>
      </c>
      <c r="D301" t="s">
        <v>144</v>
      </c>
      <c r="E301" t="s">
        <v>172</v>
      </c>
      <c r="F301" s="16">
        <f t="shared" si="129"/>
        <v>3360</v>
      </c>
      <c r="G301" s="17">
        <f t="shared" si="130"/>
        <v>25.2</v>
      </c>
      <c r="H301" s="15">
        <f t="shared" si="141"/>
        <v>1</v>
      </c>
      <c r="I301" s="24">
        <f t="shared" si="131"/>
        <v>16.8</v>
      </c>
      <c r="J301">
        <v>0</v>
      </c>
      <c r="K301" s="37">
        <f t="shared" si="132"/>
        <v>4</v>
      </c>
      <c r="L301" s="37">
        <f t="shared" si="133"/>
        <v>1</v>
      </c>
      <c r="M301">
        <v>0</v>
      </c>
      <c r="N301" s="35">
        <f t="shared" si="134"/>
        <v>0</v>
      </c>
      <c r="O301" s="18">
        <f t="shared" si="135"/>
        <v>1100</v>
      </c>
      <c r="P301" s="18">
        <f t="shared" si="136"/>
        <v>1050</v>
      </c>
      <c r="Q301" s="18">
        <f t="shared" si="137"/>
        <v>0</v>
      </c>
      <c r="R301" s="18">
        <f t="shared" si="138"/>
        <v>0</v>
      </c>
      <c r="S301" s="36">
        <f t="shared" si="139"/>
        <v>14160</v>
      </c>
      <c r="T301" s="37">
        <v>0</v>
      </c>
      <c r="U301" t="s">
        <v>146</v>
      </c>
      <c r="V301" t="s">
        <v>147</v>
      </c>
      <c r="W301" s="37" t="s">
        <v>257</v>
      </c>
      <c r="X301" t="s">
        <v>149</v>
      </c>
      <c r="Y301" s="10">
        <f t="shared" si="140"/>
        <v>48</v>
      </c>
    </row>
    <row r="302" spans="1:25" x14ac:dyDescent="0.25">
      <c r="A302" t="s">
        <v>171</v>
      </c>
      <c r="B302">
        <v>2301</v>
      </c>
      <c r="C302">
        <v>5</v>
      </c>
      <c r="D302" t="s">
        <v>144</v>
      </c>
      <c r="E302" t="s">
        <v>172</v>
      </c>
      <c r="F302" s="16">
        <f t="shared" si="129"/>
        <v>3760</v>
      </c>
      <c r="G302" s="17">
        <f t="shared" si="130"/>
        <v>28.2</v>
      </c>
      <c r="H302" s="15">
        <f t="shared" si="141"/>
        <v>1</v>
      </c>
      <c r="I302" s="24">
        <f t="shared" si="131"/>
        <v>18.8</v>
      </c>
      <c r="J302">
        <v>0</v>
      </c>
      <c r="K302" s="37">
        <f t="shared" si="132"/>
        <v>4</v>
      </c>
      <c r="L302" s="37">
        <f t="shared" si="133"/>
        <v>1</v>
      </c>
      <c r="M302">
        <v>0</v>
      </c>
      <c r="N302" s="35">
        <f t="shared" si="134"/>
        <v>0</v>
      </c>
      <c r="O302" s="18">
        <f t="shared" si="135"/>
        <v>1500</v>
      </c>
      <c r="P302" s="18">
        <f t="shared" si="136"/>
        <v>1450</v>
      </c>
      <c r="Q302" s="18">
        <f t="shared" si="137"/>
        <v>0</v>
      </c>
      <c r="R302" s="18">
        <f t="shared" si="138"/>
        <v>0</v>
      </c>
      <c r="S302" s="36">
        <f t="shared" si="139"/>
        <v>18440</v>
      </c>
      <c r="T302" s="37">
        <v>0</v>
      </c>
      <c r="U302" t="s">
        <v>146</v>
      </c>
      <c r="V302" t="s">
        <v>147</v>
      </c>
      <c r="W302" s="37" t="s">
        <v>257</v>
      </c>
      <c r="X302" t="s">
        <v>149</v>
      </c>
      <c r="Y302" s="10">
        <f t="shared" si="140"/>
        <v>59</v>
      </c>
    </row>
    <row r="303" spans="1:25" x14ac:dyDescent="0.25">
      <c r="A303" t="s">
        <v>171</v>
      </c>
      <c r="B303">
        <v>2301</v>
      </c>
      <c r="C303">
        <v>6</v>
      </c>
      <c r="D303" t="s">
        <v>144</v>
      </c>
      <c r="E303" t="s">
        <v>172</v>
      </c>
      <c r="F303" s="16">
        <f t="shared" si="129"/>
        <v>4240</v>
      </c>
      <c r="G303" s="17">
        <f t="shared" si="130"/>
        <v>31.799999999999997</v>
      </c>
      <c r="H303" s="15">
        <f t="shared" si="141"/>
        <v>1</v>
      </c>
      <c r="I303" s="24">
        <f t="shared" si="131"/>
        <v>21.200000000000003</v>
      </c>
      <c r="J303">
        <v>0</v>
      </c>
      <c r="K303" s="37">
        <f t="shared" si="132"/>
        <v>4</v>
      </c>
      <c r="L303" s="37">
        <f t="shared" si="133"/>
        <v>1</v>
      </c>
      <c r="M303">
        <v>0</v>
      </c>
      <c r="N303" s="35">
        <f t="shared" si="134"/>
        <v>370</v>
      </c>
      <c r="O303" s="18">
        <f t="shared" si="135"/>
        <v>2000</v>
      </c>
      <c r="P303" s="18">
        <f t="shared" si="136"/>
        <v>1950</v>
      </c>
      <c r="Q303" s="18">
        <f t="shared" si="137"/>
        <v>0</v>
      </c>
      <c r="R303" s="18">
        <f t="shared" si="138"/>
        <v>0</v>
      </c>
      <c r="S303" s="36">
        <f t="shared" si="139"/>
        <v>23180</v>
      </c>
      <c r="T303" s="37">
        <v>0</v>
      </c>
      <c r="U303" t="s">
        <v>146</v>
      </c>
      <c r="V303" t="s">
        <v>147</v>
      </c>
      <c r="W303" s="37" t="s">
        <v>257</v>
      </c>
      <c r="X303" t="s">
        <v>149</v>
      </c>
      <c r="Y303" s="10">
        <f t="shared" si="140"/>
        <v>71</v>
      </c>
    </row>
    <row r="304" spans="1:25" x14ac:dyDescent="0.25">
      <c r="A304" t="s">
        <v>171</v>
      </c>
      <c r="B304">
        <v>2301</v>
      </c>
      <c r="C304">
        <v>7</v>
      </c>
      <c r="D304" t="s">
        <v>144</v>
      </c>
      <c r="E304" t="s">
        <v>172</v>
      </c>
      <c r="F304" s="16">
        <f t="shared" si="129"/>
        <v>4800</v>
      </c>
      <c r="G304" s="17">
        <f t="shared" si="130"/>
        <v>36</v>
      </c>
      <c r="H304" s="15">
        <f t="shared" si="141"/>
        <v>1</v>
      </c>
      <c r="I304" s="24">
        <f t="shared" si="131"/>
        <v>24</v>
      </c>
      <c r="J304">
        <v>0</v>
      </c>
      <c r="K304" s="37">
        <f t="shared" si="132"/>
        <v>4</v>
      </c>
      <c r="L304" s="37">
        <f t="shared" si="133"/>
        <v>1</v>
      </c>
      <c r="M304">
        <v>0</v>
      </c>
      <c r="N304" s="35">
        <f t="shared" si="134"/>
        <v>780</v>
      </c>
      <c r="O304" s="18">
        <f t="shared" si="135"/>
        <v>2610</v>
      </c>
      <c r="P304" s="18">
        <f t="shared" si="136"/>
        <v>2570</v>
      </c>
      <c r="Q304" s="18">
        <f t="shared" si="137"/>
        <v>0</v>
      </c>
      <c r="R304" s="18">
        <f t="shared" si="138"/>
        <v>0</v>
      </c>
      <c r="S304" s="36">
        <f t="shared" si="139"/>
        <v>28410</v>
      </c>
      <c r="T304" s="37">
        <v>0</v>
      </c>
      <c r="U304" t="s">
        <v>146</v>
      </c>
      <c r="V304" t="s">
        <v>147</v>
      </c>
      <c r="W304" s="37" t="s">
        <v>257</v>
      </c>
      <c r="X304" t="s">
        <v>149</v>
      </c>
      <c r="Y304" s="10">
        <f t="shared" si="140"/>
        <v>85</v>
      </c>
    </row>
    <row r="305" spans="1:25" x14ac:dyDescent="0.25">
      <c r="A305" t="s">
        <v>171</v>
      </c>
      <c r="B305">
        <v>2301</v>
      </c>
      <c r="C305">
        <v>8</v>
      </c>
      <c r="D305" t="s">
        <v>144</v>
      </c>
      <c r="E305" t="s">
        <v>172</v>
      </c>
      <c r="F305" s="16">
        <f t="shared" si="129"/>
        <v>5360</v>
      </c>
      <c r="G305" s="17">
        <f t="shared" si="130"/>
        <v>40.199999999999996</v>
      </c>
      <c r="H305" s="15">
        <f t="shared" si="141"/>
        <v>1</v>
      </c>
      <c r="I305" s="24">
        <f t="shared" si="131"/>
        <v>26.8</v>
      </c>
      <c r="J305">
        <v>0</v>
      </c>
      <c r="K305" s="37">
        <f t="shared" si="132"/>
        <v>4</v>
      </c>
      <c r="L305" s="37">
        <f t="shared" si="133"/>
        <v>1</v>
      </c>
      <c r="M305">
        <v>0</v>
      </c>
      <c r="N305" s="35">
        <f t="shared" si="134"/>
        <v>1220</v>
      </c>
      <c r="O305" s="18">
        <f t="shared" si="135"/>
        <v>3360</v>
      </c>
      <c r="P305" s="18">
        <f t="shared" si="136"/>
        <v>3350</v>
      </c>
      <c r="Q305" s="18">
        <f t="shared" si="137"/>
        <v>0</v>
      </c>
      <c r="R305" s="18">
        <f t="shared" si="138"/>
        <v>0</v>
      </c>
      <c r="S305" s="36">
        <f t="shared" si="139"/>
        <v>34200</v>
      </c>
      <c r="T305" s="37">
        <v>0</v>
      </c>
      <c r="U305" t="s">
        <v>146</v>
      </c>
      <c r="V305" t="s">
        <v>147</v>
      </c>
      <c r="W305" s="37" t="s">
        <v>257</v>
      </c>
      <c r="X305" t="s">
        <v>149</v>
      </c>
      <c r="Y305" s="10">
        <f t="shared" si="140"/>
        <v>100</v>
      </c>
    </row>
    <row r="306" spans="1:25" x14ac:dyDescent="0.25">
      <c r="A306" t="s">
        <v>171</v>
      </c>
      <c r="B306">
        <v>2301</v>
      </c>
      <c r="C306">
        <v>9</v>
      </c>
      <c r="D306" t="s">
        <v>144</v>
      </c>
      <c r="E306" t="s">
        <v>172</v>
      </c>
      <c r="F306" s="16">
        <f t="shared" si="129"/>
        <v>6000</v>
      </c>
      <c r="G306" s="17">
        <f t="shared" si="130"/>
        <v>45</v>
      </c>
      <c r="H306" s="15">
        <f t="shared" si="141"/>
        <v>1</v>
      </c>
      <c r="I306" s="24">
        <f t="shared" si="131"/>
        <v>30</v>
      </c>
      <c r="J306">
        <v>0</v>
      </c>
      <c r="K306" s="37">
        <f t="shared" si="132"/>
        <v>4</v>
      </c>
      <c r="L306" s="37">
        <f t="shared" si="133"/>
        <v>1</v>
      </c>
      <c r="M306">
        <v>0</v>
      </c>
      <c r="N306" s="35">
        <f t="shared" si="134"/>
        <v>1690</v>
      </c>
      <c r="O306" s="18">
        <f t="shared" si="135"/>
        <v>4290</v>
      </c>
      <c r="P306" s="18">
        <f t="shared" si="136"/>
        <v>4310</v>
      </c>
      <c r="Q306" s="18">
        <f t="shared" si="137"/>
        <v>0</v>
      </c>
      <c r="R306" s="18">
        <f t="shared" si="138"/>
        <v>0</v>
      </c>
      <c r="S306" s="36">
        <f t="shared" si="139"/>
        <v>40590</v>
      </c>
      <c r="T306" s="37">
        <v>0</v>
      </c>
      <c r="U306" t="s">
        <v>146</v>
      </c>
      <c r="V306" t="s">
        <v>147</v>
      </c>
      <c r="W306" s="37" t="s">
        <v>257</v>
      </c>
      <c r="X306" t="s">
        <v>149</v>
      </c>
      <c r="Y306" s="10">
        <f t="shared" si="140"/>
        <v>117</v>
      </c>
    </row>
    <row r="307" spans="1:25" x14ac:dyDescent="0.25">
      <c r="A307" t="s">
        <v>171</v>
      </c>
      <c r="B307">
        <v>2301</v>
      </c>
      <c r="C307">
        <v>10</v>
      </c>
      <c r="D307" t="s">
        <v>144</v>
      </c>
      <c r="E307" t="s">
        <v>172</v>
      </c>
      <c r="F307" s="16">
        <f t="shared" si="129"/>
        <v>6720</v>
      </c>
      <c r="G307" s="17">
        <f t="shared" si="130"/>
        <v>50.4</v>
      </c>
      <c r="H307" s="15">
        <f t="shared" si="141"/>
        <v>1</v>
      </c>
      <c r="I307" s="24">
        <f t="shared" si="131"/>
        <v>33.6</v>
      </c>
      <c r="J307">
        <v>0</v>
      </c>
      <c r="K307" s="37">
        <f t="shared" si="132"/>
        <v>4</v>
      </c>
      <c r="L307" s="37">
        <f t="shared" si="133"/>
        <v>1</v>
      </c>
      <c r="M307">
        <v>0</v>
      </c>
      <c r="N307" s="35">
        <f t="shared" si="134"/>
        <v>2210</v>
      </c>
      <c r="O307" s="18">
        <f t="shared" si="135"/>
        <v>5440</v>
      </c>
      <c r="P307" s="18">
        <f t="shared" si="136"/>
        <v>5510</v>
      </c>
      <c r="Q307" s="18">
        <f t="shared" si="137"/>
        <v>120</v>
      </c>
      <c r="R307" s="18">
        <f t="shared" si="138"/>
        <v>0</v>
      </c>
      <c r="S307" s="36">
        <f t="shared" si="139"/>
        <v>47660</v>
      </c>
      <c r="T307" s="37">
        <v>0</v>
      </c>
      <c r="U307" t="s">
        <v>146</v>
      </c>
      <c r="V307" t="s">
        <v>147</v>
      </c>
      <c r="W307" s="37" t="s">
        <v>257</v>
      </c>
      <c r="X307" t="s">
        <v>149</v>
      </c>
      <c r="Y307" s="10">
        <f t="shared" si="140"/>
        <v>135</v>
      </c>
    </row>
    <row r="308" spans="1:25" x14ac:dyDescent="0.25">
      <c r="A308" t="s">
        <v>171</v>
      </c>
      <c r="B308">
        <v>2301</v>
      </c>
      <c r="C308">
        <v>11</v>
      </c>
      <c r="D308" t="s">
        <v>144</v>
      </c>
      <c r="E308" t="s">
        <v>172</v>
      </c>
      <c r="F308" s="16">
        <f t="shared" si="129"/>
        <v>7440</v>
      </c>
      <c r="G308" s="17">
        <f t="shared" si="130"/>
        <v>55.8</v>
      </c>
      <c r="H308" s="15">
        <f t="shared" si="141"/>
        <v>1</v>
      </c>
      <c r="I308" s="24">
        <f t="shared" si="131"/>
        <v>37.200000000000003</v>
      </c>
      <c r="J308">
        <v>0</v>
      </c>
      <c r="K308" s="37">
        <f t="shared" si="132"/>
        <v>4</v>
      </c>
      <c r="L308" s="37">
        <f t="shared" si="133"/>
        <v>1</v>
      </c>
      <c r="M308">
        <v>0</v>
      </c>
      <c r="N308" s="35">
        <f t="shared" si="134"/>
        <v>2770</v>
      </c>
      <c r="O308" s="18">
        <f t="shared" si="135"/>
        <v>6850</v>
      </c>
      <c r="P308" s="18">
        <f t="shared" si="136"/>
        <v>7010</v>
      </c>
      <c r="Q308" s="18">
        <f t="shared" si="137"/>
        <v>240</v>
      </c>
      <c r="R308" s="18">
        <f t="shared" si="138"/>
        <v>0</v>
      </c>
      <c r="S308" s="36">
        <f t="shared" si="139"/>
        <v>55460</v>
      </c>
      <c r="T308" s="37">
        <v>0</v>
      </c>
      <c r="U308" t="s">
        <v>146</v>
      </c>
      <c r="V308" t="s">
        <v>147</v>
      </c>
      <c r="W308" s="37" t="s">
        <v>257</v>
      </c>
      <c r="X308" t="s">
        <v>149</v>
      </c>
      <c r="Y308" s="10">
        <f t="shared" si="140"/>
        <v>156</v>
      </c>
    </row>
    <row r="309" spans="1:25" x14ac:dyDescent="0.25">
      <c r="A309" t="s">
        <v>171</v>
      </c>
      <c r="B309">
        <v>2301</v>
      </c>
      <c r="C309">
        <v>12</v>
      </c>
      <c r="D309" t="s">
        <v>144</v>
      </c>
      <c r="E309" t="s">
        <v>172</v>
      </c>
      <c r="F309" s="16">
        <f t="shared" si="129"/>
        <v>8240</v>
      </c>
      <c r="G309" s="17">
        <f t="shared" si="130"/>
        <v>61.8</v>
      </c>
      <c r="H309" s="15">
        <f t="shared" si="141"/>
        <v>1</v>
      </c>
      <c r="I309" s="24">
        <f t="shared" si="131"/>
        <v>41.2</v>
      </c>
      <c r="J309">
        <v>0</v>
      </c>
      <c r="K309" s="37">
        <f t="shared" si="132"/>
        <v>4</v>
      </c>
      <c r="L309" s="37">
        <f t="shared" si="133"/>
        <v>1</v>
      </c>
      <c r="M309">
        <v>0</v>
      </c>
      <c r="N309" s="35">
        <f t="shared" si="134"/>
        <v>3370</v>
      </c>
      <c r="O309" s="18">
        <f t="shared" si="135"/>
        <v>8600</v>
      </c>
      <c r="P309" s="18">
        <f t="shared" si="136"/>
        <v>8870</v>
      </c>
      <c r="Q309" s="18">
        <f t="shared" si="137"/>
        <v>380</v>
      </c>
      <c r="R309" s="18">
        <f t="shared" si="138"/>
        <v>0</v>
      </c>
      <c r="S309" s="36">
        <f t="shared" si="139"/>
        <v>64090</v>
      </c>
      <c r="T309" s="37">
        <v>0</v>
      </c>
      <c r="U309" t="s">
        <v>146</v>
      </c>
      <c r="V309" t="s">
        <v>147</v>
      </c>
      <c r="W309" s="37" t="s">
        <v>257</v>
      </c>
      <c r="X309" t="s">
        <v>149</v>
      </c>
      <c r="Y309" s="10">
        <f t="shared" si="140"/>
        <v>178</v>
      </c>
    </row>
    <row r="310" spans="1:25" x14ac:dyDescent="0.25">
      <c r="A310" t="s">
        <v>171</v>
      </c>
      <c r="B310">
        <v>2301</v>
      </c>
      <c r="C310">
        <v>13</v>
      </c>
      <c r="D310" t="s">
        <v>144</v>
      </c>
      <c r="E310" t="s">
        <v>172</v>
      </c>
      <c r="F310" s="16">
        <f t="shared" si="129"/>
        <v>9120</v>
      </c>
      <c r="G310" s="17">
        <f t="shared" si="130"/>
        <v>68.399999999999991</v>
      </c>
      <c r="H310" s="15">
        <f t="shared" si="141"/>
        <v>1</v>
      </c>
      <c r="I310" s="24">
        <f t="shared" si="131"/>
        <v>45.6</v>
      </c>
      <c r="J310">
        <v>0</v>
      </c>
      <c r="K310" s="37">
        <f t="shared" si="132"/>
        <v>4</v>
      </c>
      <c r="L310" s="37">
        <f t="shared" si="133"/>
        <v>1</v>
      </c>
      <c r="M310">
        <v>0</v>
      </c>
      <c r="N310" s="35">
        <f t="shared" si="134"/>
        <v>4030</v>
      </c>
      <c r="O310" s="18">
        <f t="shared" si="135"/>
        <v>10750</v>
      </c>
      <c r="P310" s="18">
        <f t="shared" si="136"/>
        <v>11200</v>
      </c>
      <c r="Q310" s="18">
        <f t="shared" si="137"/>
        <v>540</v>
      </c>
      <c r="R310" s="18">
        <f t="shared" si="138"/>
        <v>0</v>
      </c>
      <c r="S310" s="36">
        <f t="shared" si="139"/>
        <v>73630</v>
      </c>
      <c r="T310" s="37">
        <v>0</v>
      </c>
      <c r="U310" t="s">
        <v>146</v>
      </c>
      <c r="V310" t="s">
        <v>147</v>
      </c>
      <c r="W310" s="37" t="s">
        <v>257</v>
      </c>
      <c r="X310" t="s">
        <v>149</v>
      </c>
      <c r="Y310" s="10">
        <f t="shared" si="140"/>
        <v>203</v>
      </c>
    </row>
    <row r="311" spans="1:25" x14ac:dyDescent="0.25">
      <c r="A311" t="s">
        <v>171</v>
      </c>
      <c r="B311">
        <v>2301</v>
      </c>
      <c r="C311">
        <v>14</v>
      </c>
      <c r="D311" t="s">
        <v>144</v>
      </c>
      <c r="E311" t="s">
        <v>172</v>
      </c>
      <c r="F311" s="16">
        <f t="shared" si="129"/>
        <v>10000</v>
      </c>
      <c r="G311" s="17">
        <f t="shared" si="130"/>
        <v>75</v>
      </c>
      <c r="H311" s="15">
        <f t="shared" si="141"/>
        <v>1</v>
      </c>
      <c r="I311" s="24">
        <f t="shared" si="131"/>
        <v>50</v>
      </c>
      <c r="J311">
        <v>0</v>
      </c>
      <c r="K311" s="37">
        <f t="shared" si="132"/>
        <v>4</v>
      </c>
      <c r="L311" s="37">
        <f t="shared" si="133"/>
        <v>1</v>
      </c>
      <c r="M311">
        <v>0</v>
      </c>
      <c r="N311" s="35">
        <f t="shared" si="134"/>
        <v>4740</v>
      </c>
      <c r="O311" s="18">
        <f t="shared" si="135"/>
        <v>13410</v>
      </c>
      <c r="P311" s="18">
        <f t="shared" si="136"/>
        <v>14090</v>
      </c>
      <c r="Q311" s="18">
        <f t="shared" si="137"/>
        <v>710</v>
      </c>
      <c r="R311" s="18">
        <f t="shared" si="138"/>
        <v>0</v>
      </c>
      <c r="S311" s="36">
        <f t="shared" si="139"/>
        <v>84170</v>
      </c>
      <c r="T311" s="37">
        <v>0</v>
      </c>
      <c r="U311" t="s">
        <v>146</v>
      </c>
      <c r="V311" t="s">
        <v>147</v>
      </c>
      <c r="W311" s="37" t="s">
        <v>257</v>
      </c>
      <c r="X311" t="s">
        <v>149</v>
      </c>
      <c r="Y311" s="10">
        <f t="shared" si="140"/>
        <v>231</v>
      </c>
    </row>
    <row r="312" spans="1:25" x14ac:dyDescent="0.25">
      <c r="A312" t="s">
        <v>171</v>
      </c>
      <c r="B312">
        <v>2301</v>
      </c>
      <c r="C312">
        <v>15</v>
      </c>
      <c r="D312" t="s">
        <v>144</v>
      </c>
      <c r="E312" t="s">
        <v>172</v>
      </c>
      <c r="F312" s="16">
        <f t="shared" si="129"/>
        <v>11040</v>
      </c>
      <c r="G312" s="17">
        <f t="shared" si="130"/>
        <v>82.8</v>
      </c>
      <c r="H312" s="15">
        <f t="shared" si="141"/>
        <v>1</v>
      </c>
      <c r="I312" s="24">
        <f t="shared" si="131"/>
        <v>55.2</v>
      </c>
      <c r="J312">
        <v>0</v>
      </c>
      <c r="K312" s="37">
        <f t="shared" si="132"/>
        <v>4</v>
      </c>
      <c r="L312" s="37">
        <f t="shared" si="133"/>
        <v>1</v>
      </c>
      <c r="M312">
        <v>0</v>
      </c>
      <c r="N312" s="35">
        <f t="shared" si="134"/>
        <v>5510</v>
      </c>
      <c r="O312" s="18">
        <f t="shared" si="135"/>
        <v>16690</v>
      </c>
      <c r="P312" s="18">
        <f t="shared" si="136"/>
        <v>17700</v>
      </c>
      <c r="Q312" s="18">
        <f t="shared" si="137"/>
        <v>900</v>
      </c>
      <c r="R312" s="18">
        <f t="shared" si="138"/>
        <v>0</v>
      </c>
      <c r="S312" s="36">
        <f t="shared" si="139"/>
        <v>95820</v>
      </c>
      <c r="T312" s="37">
        <v>0</v>
      </c>
      <c r="U312" t="s">
        <v>146</v>
      </c>
      <c r="V312" t="s">
        <v>147</v>
      </c>
      <c r="W312" s="37" t="s">
        <v>257</v>
      </c>
      <c r="X312" t="s">
        <v>149</v>
      </c>
      <c r="Y312" s="10">
        <f t="shared" si="140"/>
        <v>261</v>
      </c>
    </row>
    <row r="313" spans="1:25" x14ac:dyDescent="0.25">
      <c r="G313" s="15"/>
      <c r="H313" s="15"/>
      <c r="Y313" s="37"/>
    </row>
    <row r="314" spans="1:25" x14ac:dyDescent="0.25">
      <c r="A314" t="s">
        <v>203</v>
      </c>
      <c r="B314" s="15" t="s">
        <v>201</v>
      </c>
      <c r="C314">
        <v>10</v>
      </c>
      <c r="G314" s="15"/>
      <c r="H314" s="15"/>
      <c r="K314" s="7" t="s">
        <v>1</v>
      </c>
      <c r="L314" s="8" t="s">
        <v>2</v>
      </c>
      <c r="M314" s="8" t="s">
        <v>194</v>
      </c>
      <c r="N314" s="33" t="s">
        <v>204</v>
      </c>
      <c r="O314" s="12" t="s">
        <v>205</v>
      </c>
    </row>
    <row r="315" spans="1:25" x14ac:dyDescent="0.25">
      <c r="A315" t="s">
        <v>203</v>
      </c>
      <c r="B315" t="s">
        <v>202</v>
      </c>
      <c r="C315">
        <v>4</v>
      </c>
      <c r="G315" s="15"/>
      <c r="H315" s="15" t="s">
        <v>132</v>
      </c>
      <c r="K315">
        <v>0.15</v>
      </c>
      <c r="L315">
        <v>-2</v>
      </c>
      <c r="M315">
        <v>10000</v>
      </c>
    </row>
    <row r="316" spans="1:25" x14ac:dyDescent="0.25">
      <c r="A316" t="s">
        <v>203</v>
      </c>
      <c r="B316" t="s">
        <v>128</v>
      </c>
      <c r="C316" t="s">
        <v>120</v>
      </c>
      <c r="G316" s="15"/>
      <c r="H316" s="15" t="s">
        <v>133</v>
      </c>
      <c r="K316">
        <v>0.16</v>
      </c>
      <c r="L316">
        <v>400</v>
      </c>
      <c r="M316">
        <v>7000</v>
      </c>
    </row>
    <row r="317" spans="1:25" x14ac:dyDescent="0.25">
      <c r="A317" t="s">
        <v>203</v>
      </c>
      <c r="G317" s="15"/>
      <c r="H317" s="15" t="s">
        <v>198</v>
      </c>
      <c r="K317">
        <v>0.23</v>
      </c>
      <c r="L317">
        <v>510</v>
      </c>
      <c r="M317">
        <v>9000</v>
      </c>
    </row>
    <row r="318" spans="1:25" x14ac:dyDescent="0.25">
      <c r="A318" t="s">
        <v>203</v>
      </c>
      <c r="G318" s="15"/>
      <c r="H318" s="15" t="s">
        <v>135</v>
      </c>
      <c r="K318">
        <v>0</v>
      </c>
      <c r="L318">
        <v>0</v>
      </c>
      <c r="M318">
        <v>0</v>
      </c>
    </row>
    <row r="319" spans="1:25" x14ac:dyDescent="0.25">
      <c r="A319" t="s">
        <v>203</v>
      </c>
      <c r="G319" s="15"/>
      <c r="H319" s="15" t="s">
        <v>136</v>
      </c>
      <c r="K319">
        <v>0</v>
      </c>
      <c r="L319">
        <v>0</v>
      </c>
      <c r="M319">
        <v>0</v>
      </c>
    </row>
    <row r="320" spans="1:25" x14ac:dyDescent="0.25">
      <c r="A320" t="s">
        <v>203</v>
      </c>
      <c r="G320" s="15"/>
      <c r="H320" s="15" t="s">
        <v>69</v>
      </c>
      <c r="K320">
        <v>0.2</v>
      </c>
      <c r="L320" s="37">
        <v>12150</v>
      </c>
      <c r="M320" s="37">
        <v>57635</v>
      </c>
      <c r="N320" s="34" t="str">
        <f>TEXT(L320/86400,CHOOSE(MATCH(L320,{0,60,3600},1),":ss","m:ss","[h]:mm:ss"))</f>
        <v>3:22:30</v>
      </c>
      <c r="O320" s="11" t="str">
        <f>TEXT(M320/86400,CHOOSE(MATCH(M320,{0,60,3600},1),":ss","m:ss","[h]:mm:ss"))</f>
        <v>16:00:35</v>
      </c>
    </row>
    <row r="321" spans="1:25" x14ac:dyDescent="0.25">
      <c r="G321" s="15"/>
      <c r="H321" s="15"/>
      <c r="L321" s="3"/>
      <c r="M321" s="3"/>
    </row>
    <row r="322" spans="1:25" x14ac:dyDescent="0.25">
      <c r="A322" t="s">
        <v>173</v>
      </c>
      <c r="B322">
        <v>2302</v>
      </c>
      <c r="C322">
        <v>0</v>
      </c>
      <c r="D322" t="s">
        <v>144</v>
      </c>
      <c r="E322" t="s">
        <v>145</v>
      </c>
      <c r="F322" s="16">
        <v>500</v>
      </c>
      <c r="G322" s="15">
        <v>0</v>
      </c>
      <c r="H322" s="15">
        <v>0</v>
      </c>
      <c r="I322" s="24">
        <v>0</v>
      </c>
      <c r="J322">
        <v>0</v>
      </c>
      <c r="K322">
        <v>0</v>
      </c>
      <c r="L322">
        <v>0</v>
      </c>
      <c r="M322">
        <v>0</v>
      </c>
      <c r="N322" s="16">
        <v>0</v>
      </c>
      <c r="O322">
        <v>0</v>
      </c>
      <c r="P322">
        <v>0</v>
      </c>
      <c r="Q322">
        <v>0</v>
      </c>
      <c r="R322">
        <v>0</v>
      </c>
      <c r="S322" s="21">
        <v>0</v>
      </c>
      <c r="T322">
        <v>0</v>
      </c>
      <c r="U322" t="s">
        <v>146</v>
      </c>
      <c r="V322" t="s">
        <v>147</v>
      </c>
      <c r="W322" s="37" t="s">
        <v>257</v>
      </c>
      <c r="X322" t="s">
        <v>149</v>
      </c>
      <c r="Y322">
        <v>0</v>
      </c>
    </row>
    <row r="323" spans="1:25" x14ac:dyDescent="0.25">
      <c r="A323" t="s">
        <v>173</v>
      </c>
      <c r="B323">
        <v>2302</v>
      </c>
      <c r="C323">
        <v>1</v>
      </c>
      <c r="D323" t="s">
        <v>144</v>
      </c>
      <c r="E323" t="s">
        <v>174</v>
      </c>
      <c r="F323" s="16">
        <f t="shared" ref="F323:F332" si="142">VLOOKUP($C$316,$C$4:$M$9,4,FALSE)*(LOOKUP($C$315,$B$13:$B$28,$C$13:$C$28)+LOOKUP($C323,$B$13:$B$28,$D$13:$D$28))</f>
        <v>2720</v>
      </c>
      <c r="G323" s="17">
        <f t="shared" ref="G323:G332" si="143">VLOOKUP($C$316,$C$4:$M$9,5,FALSE)*(LOOKUP($C$315,$B$13:$B$28,$C$13:$C$28)+LOOKUP($C323,$B$13:$B$28,$D$13:$D$28))</f>
        <v>20.399999999999999</v>
      </c>
      <c r="H323" s="15">
        <f>VLOOKUP($C$316,$C$4:$M$9,6,FALSE)</f>
        <v>1</v>
      </c>
      <c r="I323" s="24">
        <f t="shared" ref="I323:I332" si="144">VLOOKUP($C$316,$C$4:$M$9,7,FALSE)*(LOOKUP($C$315,$B$13:$B$28,$C$13:$C$28)+LOOKUP($C323,$B$13:$B$28,$D$13:$D$28))</f>
        <v>13.600000000000001</v>
      </c>
      <c r="J323">
        <v>0</v>
      </c>
      <c r="K323">
        <f t="shared" ref="K323:K332" si="145">VLOOKUP($C$316,$C$4:$M$9,9,FALSE)</f>
        <v>4</v>
      </c>
      <c r="L323">
        <f t="shared" ref="L323:L332" si="146">VLOOKUP($C$316,$C$4:$M$9,10,FALSE)</f>
        <v>1</v>
      </c>
      <c r="M323">
        <v>0</v>
      </c>
      <c r="N323" s="35">
        <f>ROUND(GetValue($C323,$C$314,$K$315,$L$315,$M$315),-1)</f>
        <v>0</v>
      </c>
      <c r="O323" s="18">
        <f>ROUND(GetValue($C323,$C$314,$K$316,$L$316,$M$316),-1)</f>
        <v>400</v>
      </c>
      <c r="P323" s="18">
        <f>ROUND(GetValue($C323,$C$314,$K$317,$L$317,$M$317),-1)</f>
        <v>510</v>
      </c>
      <c r="Q323" s="18">
        <f>ROUND(GetValue($C323,$C$314,$K$318,$L$318,$M$318),-1)</f>
        <v>0</v>
      </c>
      <c r="R323" s="18">
        <f>ROUND(GetValue($C323,$C$314,$K$319,$L$319,$M$319),-1)</f>
        <v>0</v>
      </c>
      <c r="S323" s="36">
        <f>ROUND(GetValue($C323,$C$314,$K$320,$L$320,$M$320),-1)</f>
        <v>12150</v>
      </c>
      <c r="T323" s="37">
        <v>0</v>
      </c>
      <c r="U323" t="s">
        <v>146</v>
      </c>
      <c r="V323" t="s">
        <v>147</v>
      </c>
      <c r="W323" s="37" t="s">
        <v>257</v>
      </c>
      <c r="X323" t="s">
        <v>149</v>
      </c>
      <c r="Y323">
        <v>0</v>
      </c>
    </row>
    <row r="324" spans="1:25" x14ac:dyDescent="0.25">
      <c r="A324" t="s">
        <v>173</v>
      </c>
      <c r="B324">
        <v>2302</v>
      </c>
      <c r="C324">
        <v>2</v>
      </c>
      <c r="D324" t="s">
        <v>144</v>
      </c>
      <c r="E324" t="s">
        <v>174</v>
      </c>
      <c r="F324" s="16">
        <f t="shared" si="142"/>
        <v>2960</v>
      </c>
      <c r="G324" s="17">
        <f t="shared" si="143"/>
        <v>22.2</v>
      </c>
      <c r="H324" s="15">
        <f>H323</f>
        <v>1</v>
      </c>
      <c r="I324" s="24">
        <f t="shared" si="144"/>
        <v>14.8</v>
      </c>
      <c r="J324">
        <v>0</v>
      </c>
      <c r="K324" s="37">
        <f t="shared" si="145"/>
        <v>4</v>
      </c>
      <c r="L324" s="37">
        <f t="shared" si="146"/>
        <v>1</v>
      </c>
      <c r="M324">
        <v>0</v>
      </c>
      <c r="N324" s="35">
        <f t="shared" ref="N324:N332" si="147">ROUND(GetValue($C324,$C$314,$K$315,$L$315,$M$315),-1)</f>
        <v>0</v>
      </c>
      <c r="O324" s="18">
        <f t="shared" ref="O324:O332" si="148">ROUND(GetValue($C324,$C$314,$K$316,$L$316,$M$316),-1)</f>
        <v>700</v>
      </c>
      <c r="P324" s="18">
        <f t="shared" ref="P324:P332" si="149">ROUND(GetValue($C324,$C$314,$K$317,$L$317,$M$317),-1)</f>
        <v>820</v>
      </c>
      <c r="Q324" s="18">
        <f t="shared" ref="Q324:Q332" si="150">ROUND(GetValue($C324,$C$314,$K$318,$L$318,$M$318),-1)</f>
        <v>0</v>
      </c>
      <c r="R324" s="18">
        <f t="shared" ref="R324:R332" si="151">ROUND(GetValue($C324,$C$314,$K$319,$L$319,$M$319),-1)</f>
        <v>0</v>
      </c>
      <c r="S324" s="36">
        <f t="shared" ref="S324:S332" si="152">ROUND(GetValue($C324,$C$314,$K$320,$L$320,$M$320),-1)</f>
        <v>14700</v>
      </c>
      <c r="T324" s="37">
        <v>0</v>
      </c>
      <c r="U324" t="s">
        <v>146</v>
      </c>
      <c r="V324" t="s">
        <v>147</v>
      </c>
      <c r="W324" s="37" t="s">
        <v>257</v>
      </c>
      <c r="X324" t="s">
        <v>149</v>
      </c>
      <c r="Y324">
        <v>0</v>
      </c>
    </row>
    <row r="325" spans="1:25" x14ac:dyDescent="0.25">
      <c r="A325" t="s">
        <v>173</v>
      </c>
      <c r="B325">
        <v>2302</v>
      </c>
      <c r="C325">
        <v>3</v>
      </c>
      <c r="D325" t="s">
        <v>144</v>
      </c>
      <c r="E325" t="s">
        <v>174</v>
      </c>
      <c r="F325" s="16">
        <f t="shared" si="142"/>
        <v>3360</v>
      </c>
      <c r="G325" s="17">
        <f t="shared" si="143"/>
        <v>25.2</v>
      </c>
      <c r="H325" s="15">
        <f t="shared" ref="H325:H332" si="153">H324</f>
        <v>1</v>
      </c>
      <c r="I325" s="24">
        <f t="shared" si="144"/>
        <v>16.8</v>
      </c>
      <c r="J325">
        <v>0</v>
      </c>
      <c r="K325" s="37">
        <f t="shared" si="145"/>
        <v>4</v>
      </c>
      <c r="L325" s="37">
        <f t="shared" si="146"/>
        <v>1</v>
      </c>
      <c r="M325">
        <v>0</v>
      </c>
      <c r="N325" s="35">
        <f t="shared" si="147"/>
        <v>490</v>
      </c>
      <c r="O325" s="18">
        <f t="shared" si="148"/>
        <v>1060</v>
      </c>
      <c r="P325" s="18">
        <f t="shared" si="149"/>
        <v>1210</v>
      </c>
      <c r="Q325" s="18">
        <f t="shared" si="150"/>
        <v>0</v>
      </c>
      <c r="R325" s="18">
        <f t="shared" si="151"/>
        <v>0</v>
      </c>
      <c r="S325" s="36">
        <f t="shared" si="152"/>
        <v>17820</v>
      </c>
      <c r="T325" s="37">
        <v>0</v>
      </c>
      <c r="U325" t="s">
        <v>146</v>
      </c>
      <c r="V325" t="s">
        <v>147</v>
      </c>
      <c r="W325" s="37" t="s">
        <v>257</v>
      </c>
      <c r="X325" t="s">
        <v>149</v>
      </c>
      <c r="Y325">
        <v>0</v>
      </c>
    </row>
    <row r="326" spans="1:25" x14ac:dyDescent="0.25">
      <c r="A326" t="s">
        <v>173</v>
      </c>
      <c r="B326">
        <v>2302</v>
      </c>
      <c r="C326">
        <v>4</v>
      </c>
      <c r="D326" t="s">
        <v>144</v>
      </c>
      <c r="E326" t="s">
        <v>174</v>
      </c>
      <c r="F326" s="16">
        <f t="shared" si="142"/>
        <v>3840</v>
      </c>
      <c r="G326" s="17">
        <f t="shared" si="143"/>
        <v>28.799999999999997</v>
      </c>
      <c r="H326" s="15">
        <f t="shared" si="153"/>
        <v>1</v>
      </c>
      <c r="I326" s="24">
        <f t="shared" si="144"/>
        <v>19.200000000000003</v>
      </c>
      <c r="J326">
        <v>0</v>
      </c>
      <c r="K326" s="37">
        <f t="shared" si="145"/>
        <v>4</v>
      </c>
      <c r="L326" s="37">
        <f t="shared" si="146"/>
        <v>1</v>
      </c>
      <c r="M326">
        <v>0</v>
      </c>
      <c r="N326" s="35">
        <f t="shared" si="147"/>
        <v>1050</v>
      </c>
      <c r="O326" s="18">
        <f t="shared" si="148"/>
        <v>1480</v>
      </c>
      <c r="P326" s="18">
        <f t="shared" si="149"/>
        <v>1700</v>
      </c>
      <c r="Q326" s="18">
        <f t="shared" si="150"/>
        <v>0</v>
      </c>
      <c r="R326" s="18">
        <f t="shared" si="151"/>
        <v>0</v>
      </c>
      <c r="S326" s="36">
        <f t="shared" si="152"/>
        <v>21630</v>
      </c>
      <c r="T326" s="37">
        <v>0</v>
      </c>
      <c r="U326" t="s">
        <v>146</v>
      </c>
      <c r="V326" t="s">
        <v>147</v>
      </c>
      <c r="W326" s="37" t="s">
        <v>257</v>
      </c>
      <c r="X326" t="s">
        <v>149</v>
      </c>
      <c r="Y326">
        <v>0</v>
      </c>
    </row>
    <row r="327" spans="1:25" x14ac:dyDescent="0.25">
      <c r="A327" t="s">
        <v>173</v>
      </c>
      <c r="B327">
        <v>2302</v>
      </c>
      <c r="C327">
        <v>5</v>
      </c>
      <c r="D327" t="s">
        <v>144</v>
      </c>
      <c r="E327" t="s">
        <v>174</v>
      </c>
      <c r="F327" s="16">
        <f t="shared" si="142"/>
        <v>4240</v>
      </c>
      <c r="G327" s="17">
        <f t="shared" si="143"/>
        <v>31.799999999999997</v>
      </c>
      <c r="H327" s="15">
        <f t="shared" si="153"/>
        <v>1</v>
      </c>
      <c r="I327" s="24">
        <f t="shared" si="144"/>
        <v>21.200000000000003</v>
      </c>
      <c r="J327">
        <v>0</v>
      </c>
      <c r="K327" s="37">
        <f t="shared" si="145"/>
        <v>4</v>
      </c>
      <c r="L327" s="37">
        <f t="shared" si="146"/>
        <v>1</v>
      </c>
      <c r="M327">
        <v>0</v>
      </c>
      <c r="N327" s="35">
        <f t="shared" si="147"/>
        <v>1710</v>
      </c>
      <c r="O327" s="18">
        <f t="shared" si="148"/>
        <v>1970</v>
      </c>
      <c r="P327" s="18">
        <f t="shared" si="149"/>
        <v>2320</v>
      </c>
      <c r="Q327" s="18">
        <f t="shared" si="150"/>
        <v>0</v>
      </c>
      <c r="R327" s="18">
        <f t="shared" si="151"/>
        <v>0</v>
      </c>
      <c r="S327" s="36">
        <f t="shared" si="152"/>
        <v>26290</v>
      </c>
      <c r="T327" s="37">
        <v>0</v>
      </c>
      <c r="U327" t="s">
        <v>146</v>
      </c>
      <c r="V327" t="s">
        <v>147</v>
      </c>
      <c r="W327" s="37" t="s">
        <v>257</v>
      </c>
      <c r="X327" t="s">
        <v>149</v>
      </c>
      <c r="Y327">
        <v>0</v>
      </c>
    </row>
    <row r="328" spans="1:25" x14ac:dyDescent="0.25">
      <c r="A328" t="s">
        <v>173</v>
      </c>
      <c r="B328">
        <v>2302</v>
      </c>
      <c r="C328">
        <v>6</v>
      </c>
      <c r="D328" t="s">
        <v>144</v>
      </c>
      <c r="E328" t="s">
        <v>174</v>
      </c>
      <c r="F328" s="16">
        <f t="shared" si="142"/>
        <v>4720</v>
      </c>
      <c r="G328" s="17">
        <f t="shared" si="143"/>
        <v>35.4</v>
      </c>
      <c r="H328" s="15">
        <f t="shared" si="153"/>
        <v>1</v>
      </c>
      <c r="I328" s="24">
        <f t="shared" si="144"/>
        <v>23.6</v>
      </c>
      <c r="J328">
        <v>0</v>
      </c>
      <c r="K328" s="37">
        <f t="shared" si="145"/>
        <v>4</v>
      </c>
      <c r="L328" s="37">
        <f t="shared" si="146"/>
        <v>1</v>
      </c>
      <c r="M328">
        <v>0</v>
      </c>
      <c r="N328" s="35">
        <f t="shared" si="147"/>
        <v>2480</v>
      </c>
      <c r="O328" s="18">
        <f t="shared" si="148"/>
        <v>2550</v>
      </c>
      <c r="P328" s="18">
        <f t="shared" si="149"/>
        <v>3100</v>
      </c>
      <c r="Q328" s="18">
        <f t="shared" si="150"/>
        <v>0</v>
      </c>
      <c r="R328" s="18">
        <f t="shared" si="151"/>
        <v>0</v>
      </c>
      <c r="S328" s="36">
        <f t="shared" si="152"/>
        <v>31970</v>
      </c>
      <c r="T328" s="37">
        <v>0</v>
      </c>
      <c r="U328" t="s">
        <v>146</v>
      </c>
      <c r="V328" t="s">
        <v>147</v>
      </c>
      <c r="W328" s="37" t="s">
        <v>257</v>
      </c>
      <c r="X328" t="s">
        <v>149</v>
      </c>
      <c r="Y328">
        <v>0</v>
      </c>
    </row>
    <row r="329" spans="1:25" x14ac:dyDescent="0.25">
      <c r="A329" t="s">
        <v>173</v>
      </c>
      <c r="B329">
        <v>2302</v>
      </c>
      <c r="C329">
        <v>7</v>
      </c>
      <c r="D329" t="s">
        <v>144</v>
      </c>
      <c r="E329" t="s">
        <v>174</v>
      </c>
      <c r="F329" s="16">
        <f t="shared" si="142"/>
        <v>5280</v>
      </c>
      <c r="G329" s="17">
        <f t="shared" si="143"/>
        <v>39.6</v>
      </c>
      <c r="H329" s="15">
        <f t="shared" si="153"/>
        <v>1</v>
      </c>
      <c r="I329" s="24">
        <f t="shared" si="144"/>
        <v>26.400000000000002</v>
      </c>
      <c r="J329">
        <v>0</v>
      </c>
      <c r="K329" s="37">
        <f t="shared" si="145"/>
        <v>4</v>
      </c>
      <c r="L329" s="37">
        <f t="shared" si="146"/>
        <v>1</v>
      </c>
      <c r="M329">
        <v>0</v>
      </c>
      <c r="N329" s="35">
        <f t="shared" si="147"/>
        <v>3360</v>
      </c>
      <c r="O329" s="18">
        <f t="shared" si="148"/>
        <v>3230</v>
      </c>
      <c r="P329" s="18">
        <f t="shared" si="149"/>
        <v>4080</v>
      </c>
      <c r="Q329" s="18">
        <f t="shared" si="150"/>
        <v>0</v>
      </c>
      <c r="R329" s="18">
        <f t="shared" si="151"/>
        <v>0</v>
      </c>
      <c r="S329" s="36">
        <f t="shared" si="152"/>
        <v>38910</v>
      </c>
      <c r="T329" s="37">
        <v>0</v>
      </c>
      <c r="U329" t="s">
        <v>146</v>
      </c>
      <c r="V329" t="s">
        <v>147</v>
      </c>
      <c r="W329" s="37" t="s">
        <v>257</v>
      </c>
      <c r="X329" t="s">
        <v>149</v>
      </c>
      <c r="Y329">
        <v>0</v>
      </c>
    </row>
    <row r="330" spans="1:25" x14ac:dyDescent="0.25">
      <c r="A330" t="s">
        <v>173</v>
      </c>
      <c r="B330">
        <v>2302</v>
      </c>
      <c r="C330">
        <v>8</v>
      </c>
      <c r="D330" t="s">
        <v>144</v>
      </c>
      <c r="E330" t="s">
        <v>174</v>
      </c>
      <c r="F330" s="16">
        <f t="shared" si="142"/>
        <v>5840</v>
      </c>
      <c r="G330" s="17">
        <f t="shared" si="143"/>
        <v>43.8</v>
      </c>
      <c r="H330" s="15">
        <f t="shared" si="153"/>
        <v>1</v>
      </c>
      <c r="I330" s="24">
        <f t="shared" si="144"/>
        <v>29.200000000000003</v>
      </c>
      <c r="J330">
        <v>0</v>
      </c>
      <c r="K330" s="37">
        <f t="shared" si="145"/>
        <v>4</v>
      </c>
      <c r="L330" s="37">
        <f t="shared" si="146"/>
        <v>1</v>
      </c>
      <c r="M330">
        <v>0</v>
      </c>
      <c r="N330" s="35">
        <f t="shared" si="147"/>
        <v>4400</v>
      </c>
      <c r="O330" s="18">
        <f t="shared" si="148"/>
        <v>4020</v>
      </c>
      <c r="P330" s="18">
        <f t="shared" si="149"/>
        <v>5310</v>
      </c>
      <c r="Q330" s="18">
        <f t="shared" si="150"/>
        <v>0</v>
      </c>
      <c r="R330" s="18">
        <f t="shared" si="151"/>
        <v>0</v>
      </c>
      <c r="S330" s="36">
        <f t="shared" si="152"/>
        <v>47390</v>
      </c>
      <c r="T330" s="37">
        <v>0</v>
      </c>
      <c r="U330" t="s">
        <v>146</v>
      </c>
      <c r="V330" t="s">
        <v>147</v>
      </c>
      <c r="W330" s="37" t="s">
        <v>257</v>
      </c>
      <c r="X330" t="s">
        <v>149</v>
      </c>
      <c r="Y330">
        <v>0</v>
      </c>
    </row>
    <row r="331" spans="1:25" x14ac:dyDescent="0.25">
      <c r="A331" t="s">
        <v>173</v>
      </c>
      <c r="B331">
        <v>2302</v>
      </c>
      <c r="C331">
        <v>9</v>
      </c>
      <c r="D331" t="s">
        <v>144</v>
      </c>
      <c r="E331" t="s">
        <v>174</v>
      </c>
      <c r="F331" s="16">
        <f t="shared" si="142"/>
        <v>6480</v>
      </c>
      <c r="G331" s="17">
        <f t="shared" si="143"/>
        <v>48.6</v>
      </c>
      <c r="H331" s="15">
        <f t="shared" si="153"/>
        <v>1</v>
      </c>
      <c r="I331" s="24">
        <f t="shared" si="144"/>
        <v>32.4</v>
      </c>
      <c r="J331">
        <v>0</v>
      </c>
      <c r="K331" s="37">
        <f t="shared" si="145"/>
        <v>4</v>
      </c>
      <c r="L331" s="37">
        <f t="shared" si="146"/>
        <v>1</v>
      </c>
      <c r="M331">
        <v>0</v>
      </c>
      <c r="N331" s="35">
        <f t="shared" si="147"/>
        <v>5600</v>
      </c>
      <c r="O331" s="18">
        <f t="shared" si="148"/>
        <v>4950</v>
      </c>
      <c r="P331" s="18">
        <f t="shared" si="149"/>
        <v>6870</v>
      </c>
      <c r="Q331" s="18">
        <f t="shared" si="150"/>
        <v>0</v>
      </c>
      <c r="R331" s="18">
        <f t="shared" si="151"/>
        <v>0</v>
      </c>
      <c r="S331" s="36">
        <f t="shared" si="152"/>
        <v>57750</v>
      </c>
      <c r="T331" s="37">
        <v>0</v>
      </c>
      <c r="U331" t="s">
        <v>146</v>
      </c>
      <c r="V331" t="s">
        <v>147</v>
      </c>
      <c r="W331" s="37" t="s">
        <v>257</v>
      </c>
      <c r="X331" t="s">
        <v>149</v>
      </c>
      <c r="Y331">
        <v>0</v>
      </c>
    </row>
    <row r="332" spans="1:25" x14ac:dyDescent="0.25">
      <c r="A332" t="s">
        <v>173</v>
      </c>
      <c r="B332">
        <v>2302</v>
      </c>
      <c r="C332">
        <v>10</v>
      </c>
      <c r="D332" t="s">
        <v>144</v>
      </c>
      <c r="E332" t="s">
        <v>174</v>
      </c>
      <c r="F332" s="16">
        <f t="shared" si="142"/>
        <v>7200</v>
      </c>
      <c r="G332" s="17">
        <f t="shared" si="143"/>
        <v>54</v>
      </c>
      <c r="H332" s="15">
        <f t="shared" si="153"/>
        <v>1</v>
      </c>
      <c r="I332" s="24">
        <f t="shared" si="144"/>
        <v>36</v>
      </c>
      <c r="J332">
        <v>0</v>
      </c>
      <c r="K332" s="37">
        <f t="shared" si="145"/>
        <v>4</v>
      </c>
      <c r="L332" s="37">
        <f t="shared" si="146"/>
        <v>1</v>
      </c>
      <c r="M332">
        <v>0</v>
      </c>
      <c r="N332" s="35">
        <f t="shared" si="147"/>
        <v>6990</v>
      </c>
      <c r="O332" s="18">
        <f t="shared" si="148"/>
        <v>6050</v>
      </c>
      <c r="P332" s="18">
        <f t="shared" si="149"/>
        <v>8820</v>
      </c>
      <c r="Q332" s="18">
        <f t="shared" si="150"/>
        <v>0</v>
      </c>
      <c r="R332" s="18">
        <f t="shared" si="151"/>
        <v>0</v>
      </c>
      <c r="S332" s="36">
        <f t="shared" si="152"/>
        <v>70400</v>
      </c>
      <c r="T332" s="37">
        <v>0</v>
      </c>
      <c r="U332" t="s">
        <v>146</v>
      </c>
      <c r="V332" t="s">
        <v>147</v>
      </c>
      <c r="W332" s="37" t="s">
        <v>257</v>
      </c>
      <c r="X332" t="s">
        <v>149</v>
      </c>
      <c r="Y332">
        <v>0</v>
      </c>
    </row>
    <row r="333" spans="1:25" x14ac:dyDescent="0.25">
      <c r="G333" s="15"/>
      <c r="H333" s="15"/>
    </row>
    <row r="334" spans="1:25" x14ac:dyDescent="0.25">
      <c r="A334" t="s">
        <v>203</v>
      </c>
      <c r="B334" s="15" t="s">
        <v>201</v>
      </c>
      <c r="C334">
        <v>10</v>
      </c>
      <c r="G334" s="15"/>
      <c r="H334" s="15"/>
      <c r="K334" s="7" t="s">
        <v>1</v>
      </c>
      <c r="L334" s="8" t="s">
        <v>2</v>
      </c>
      <c r="M334" s="8" t="s">
        <v>194</v>
      </c>
      <c r="N334" s="33" t="s">
        <v>204</v>
      </c>
      <c r="O334" s="12" t="s">
        <v>205</v>
      </c>
    </row>
    <row r="335" spans="1:25" x14ac:dyDescent="0.25">
      <c r="A335" t="s">
        <v>203</v>
      </c>
      <c r="B335" t="s">
        <v>202</v>
      </c>
      <c r="C335">
        <v>6</v>
      </c>
      <c r="G335" s="15"/>
      <c r="H335" s="15" t="s">
        <v>132</v>
      </c>
      <c r="K335">
        <v>0</v>
      </c>
      <c r="L335">
        <v>0</v>
      </c>
      <c r="M335">
        <v>0</v>
      </c>
    </row>
    <row r="336" spans="1:25" x14ac:dyDescent="0.25">
      <c r="A336" t="s">
        <v>203</v>
      </c>
      <c r="B336" t="s">
        <v>128</v>
      </c>
      <c r="C336" t="s">
        <v>120</v>
      </c>
      <c r="G336" s="15"/>
      <c r="H336" s="15" t="s">
        <v>133</v>
      </c>
      <c r="K336">
        <v>0.15</v>
      </c>
      <c r="L336">
        <v>750</v>
      </c>
      <c r="M336">
        <v>11170</v>
      </c>
    </row>
    <row r="337" spans="1:25" x14ac:dyDescent="0.25">
      <c r="A337" t="s">
        <v>203</v>
      </c>
      <c r="G337" s="15"/>
      <c r="H337" s="15" t="s">
        <v>198</v>
      </c>
      <c r="K337">
        <v>0.14000000000000001</v>
      </c>
      <c r="L337">
        <v>1100</v>
      </c>
      <c r="M337">
        <v>13670</v>
      </c>
    </row>
    <row r="338" spans="1:25" x14ac:dyDescent="0.25">
      <c r="A338" t="s">
        <v>203</v>
      </c>
      <c r="G338" s="15"/>
      <c r="H338" s="15" t="s">
        <v>135</v>
      </c>
      <c r="K338">
        <v>0.05</v>
      </c>
      <c r="L338">
        <v>-2</v>
      </c>
      <c r="M338">
        <v>7500</v>
      </c>
    </row>
    <row r="339" spans="1:25" x14ac:dyDescent="0.25">
      <c r="A339" t="s">
        <v>203</v>
      </c>
      <c r="G339" s="15"/>
      <c r="H339" s="15" t="s">
        <v>136</v>
      </c>
      <c r="K339">
        <v>0</v>
      </c>
      <c r="L339">
        <v>0</v>
      </c>
      <c r="M339">
        <v>0</v>
      </c>
    </row>
    <row r="340" spans="1:25" x14ac:dyDescent="0.25">
      <c r="A340" t="s">
        <v>203</v>
      </c>
      <c r="G340" s="15"/>
      <c r="H340" s="15" t="s">
        <v>69</v>
      </c>
      <c r="K340">
        <v>7.0000000000000007E-2</v>
      </c>
      <c r="L340" s="15">
        <v>24300</v>
      </c>
      <c r="M340" s="21">
        <v>78295</v>
      </c>
      <c r="N340" s="34" t="str">
        <f>TEXT(L340/86400,CHOOSE(MATCH(L340,{0,60,3600},1),":ss","m:ss","[h]:mm:ss"))</f>
        <v>6:45:00</v>
      </c>
      <c r="O340" s="11" t="str">
        <f>TEXT(M340/86400,CHOOSE(MATCH(M340,{0,60,3600},1),":ss","m:ss","[h]:mm:ss"))</f>
        <v>21:44:55</v>
      </c>
    </row>
    <row r="341" spans="1:25" x14ac:dyDescent="0.25">
      <c r="G341" s="15"/>
      <c r="H341" s="15"/>
      <c r="L341" s="3"/>
      <c r="M341" s="3"/>
    </row>
    <row r="342" spans="1:25" x14ac:dyDescent="0.25">
      <c r="A342" t="s">
        <v>175</v>
      </c>
      <c r="B342">
        <v>2303</v>
      </c>
      <c r="C342">
        <v>0</v>
      </c>
      <c r="D342" t="s">
        <v>144</v>
      </c>
      <c r="E342" t="s">
        <v>145</v>
      </c>
      <c r="F342" s="16">
        <v>500</v>
      </c>
      <c r="G342" s="15">
        <v>0</v>
      </c>
      <c r="H342" s="15">
        <v>0</v>
      </c>
      <c r="I342" s="24">
        <v>0</v>
      </c>
      <c r="J342">
        <v>0</v>
      </c>
      <c r="K342">
        <v>0</v>
      </c>
      <c r="L342">
        <v>0</v>
      </c>
      <c r="M342">
        <v>0</v>
      </c>
      <c r="N342" s="16">
        <v>0</v>
      </c>
      <c r="O342">
        <v>0</v>
      </c>
      <c r="P342">
        <v>0</v>
      </c>
      <c r="Q342">
        <v>0</v>
      </c>
      <c r="R342">
        <v>0</v>
      </c>
      <c r="S342" s="21">
        <v>0</v>
      </c>
      <c r="T342">
        <v>0</v>
      </c>
      <c r="U342" t="s">
        <v>146</v>
      </c>
      <c r="V342" t="s">
        <v>147</v>
      </c>
      <c r="W342" s="37" t="s">
        <v>257</v>
      </c>
      <c r="X342" t="s">
        <v>149</v>
      </c>
      <c r="Y342">
        <v>0</v>
      </c>
    </row>
    <row r="343" spans="1:25" x14ac:dyDescent="0.25">
      <c r="A343" t="s">
        <v>175</v>
      </c>
      <c r="B343">
        <v>2303</v>
      </c>
      <c r="C343">
        <v>1</v>
      </c>
      <c r="D343" t="s">
        <v>144</v>
      </c>
      <c r="E343" t="s">
        <v>176</v>
      </c>
      <c r="F343" s="16">
        <f t="shared" ref="F343:F352" si="154">VLOOKUP($C$336,$C$4:$M$9,4,FALSE)*(LOOKUP($C$335,$B$13:$B$28,$C$13:$C$28)+LOOKUP($C343,$B$13:$B$28,$D$13:$D$28))</f>
        <v>3600</v>
      </c>
      <c r="G343" s="17">
        <f t="shared" ref="G343:G352" si="155">VLOOKUP($C$336,$C$4:$M$9,5,FALSE)*(LOOKUP($C$335,$B$13:$B$28,$C$13:$C$28)+LOOKUP($C343,$B$13:$B$28,$D$13:$D$28))</f>
        <v>27</v>
      </c>
      <c r="H343" s="15">
        <f>VLOOKUP($C$336,$C$4:$M$9,6,FALSE)</f>
        <v>1</v>
      </c>
      <c r="I343" s="24">
        <f t="shared" ref="I343:I352" si="156">VLOOKUP($C$336,$C$4:$M$9,7,FALSE)*(LOOKUP($C$335,$B$13:$B$28,$C$13:$C$28)+LOOKUP($C343,$B$13:$B$28,$D$13:$D$28))</f>
        <v>18</v>
      </c>
      <c r="J343">
        <v>0</v>
      </c>
      <c r="K343">
        <f t="shared" ref="K343:K352" si="157">VLOOKUP($C$336,$C$4:$M$9,9,FALSE)</f>
        <v>4</v>
      </c>
      <c r="L343">
        <f t="shared" ref="L343:L352" si="158">VLOOKUP($C$336,$C$4:$M$9,10,FALSE)</f>
        <v>1</v>
      </c>
      <c r="M343">
        <v>0</v>
      </c>
      <c r="N343" s="35">
        <f>ROUND(GetValue($C343,$C$334,$K$335,$L$335,$M$335),-1)</f>
        <v>0</v>
      </c>
      <c r="O343" s="18">
        <f>ROUND(GetValue($C343,$C$334,$K$336,$L$336,$M$336),-1)</f>
        <v>750</v>
      </c>
      <c r="P343" s="18">
        <f>ROUND(GetValue($C343,$C$334,$K$337,$L$337,$M$337),-1)</f>
        <v>1100</v>
      </c>
      <c r="Q343" s="18">
        <f>ROUND(GetValue($C343,$C$334,$K$338,$L$338,$M$338),-1)</f>
        <v>0</v>
      </c>
      <c r="R343" s="18">
        <f>ROUND(GetValue($C343,$C$334,$K$339,$L$339,$M$339),-1)</f>
        <v>0</v>
      </c>
      <c r="S343" s="36">
        <f>ROUND(GetValue($C343,$C$334,$K$340,$L$340,$M$340),-1)</f>
        <v>24300</v>
      </c>
      <c r="T343" s="37">
        <v>0</v>
      </c>
      <c r="U343" t="s">
        <v>146</v>
      </c>
      <c r="V343" t="s">
        <v>147</v>
      </c>
      <c r="W343" s="37" t="s">
        <v>257</v>
      </c>
      <c r="X343" t="s">
        <v>149</v>
      </c>
      <c r="Y343">
        <v>0</v>
      </c>
    </row>
    <row r="344" spans="1:25" x14ac:dyDescent="0.25">
      <c r="A344" t="s">
        <v>175</v>
      </c>
      <c r="B344">
        <v>2303</v>
      </c>
      <c r="C344">
        <v>2</v>
      </c>
      <c r="D344" t="s">
        <v>144</v>
      </c>
      <c r="E344" t="s">
        <v>176</v>
      </c>
      <c r="F344" s="16">
        <f t="shared" si="154"/>
        <v>3840</v>
      </c>
      <c r="G344" s="17">
        <f t="shared" si="155"/>
        <v>28.799999999999997</v>
      </c>
      <c r="H344" s="15">
        <f>H343</f>
        <v>1</v>
      </c>
      <c r="I344" s="24">
        <f t="shared" si="156"/>
        <v>19.200000000000003</v>
      </c>
      <c r="J344">
        <v>0</v>
      </c>
      <c r="K344" s="37">
        <f t="shared" si="157"/>
        <v>4</v>
      </c>
      <c r="L344" s="37">
        <f t="shared" si="158"/>
        <v>1</v>
      </c>
      <c r="M344">
        <v>0</v>
      </c>
      <c r="N344" s="35">
        <f t="shared" ref="N344:N352" si="159">ROUND(GetValue($C344,$C$334,$K$335,$L$335,$M$335),-1)</f>
        <v>0</v>
      </c>
      <c r="O344" s="18">
        <f t="shared" ref="O344:O352" si="160">ROUND(GetValue($C344,$C$334,$K$336,$L$336,$M$336),-1)</f>
        <v>1250</v>
      </c>
      <c r="P344" s="18">
        <f t="shared" ref="P344:P352" si="161">ROUND(GetValue($C344,$C$334,$K$337,$L$337,$M$337),-1)</f>
        <v>1730</v>
      </c>
      <c r="Q344" s="18">
        <f t="shared" ref="Q344:Q352" si="162">ROUND(GetValue($C344,$C$334,$K$338,$L$338,$M$338),-1)</f>
        <v>0</v>
      </c>
      <c r="R344" s="18">
        <f t="shared" ref="R344:R352" si="163">ROUND(GetValue($C344,$C$334,$K$339,$L$339,$M$339),-1)</f>
        <v>0</v>
      </c>
      <c r="S344" s="36">
        <f t="shared" ref="S344:S352" si="164">ROUND(GetValue($C344,$C$334,$K$340,$L$340,$M$340),-1)</f>
        <v>28260</v>
      </c>
      <c r="T344" s="37">
        <v>0</v>
      </c>
      <c r="U344" t="s">
        <v>146</v>
      </c>
      <c r="V344" t="s">
        <v>147</v>
      </c>
      <c r="W344" s="37" t="s">
        <v>257</v>
      </c>
      <c r="X344" t="s">
        <v>149</v>
      </c>
      <c r="Y344">
        <v>0</v>
      </c>
    </row>
    <row r="345" spans="1:25" x14ac:dyDescent="0.25">
      <c r="A345" t="s">
        <v>175</v>
      </c>
      <c r="B345">
        <v>2303</v>
      </c>
      <c r="C345">
        <v>3</v>
      </c>
      <c r="D345" t="s">
        <v>144</v>
      </c>
      <c r="E345" t="s">
        <v>176</v>
      </c>
      <c r="F345" s="16">
        <f t="shared" si="154"/>
        <v>4240</v>
      </c>
      <c r="G345" s="17">
        <f t="shared" si="155"/>
        <v>31.799999999999997</v>
      </c>
      <c r="H345" s="15">
        <f t="shared" ref="H345:H352" si="165">H344</f>
        <v>1</v>
      </c>
      <c r="I345" s="24">
        <f t="shared" si="156"/>
        <v>21.200000000000003</v>
      </c>
      <c r="J345">
        <v>0</v>
      </c>
      <c r="K345" s="37">
        <f t="shared" si="157"/>
        <v>4</v>
      </c>
      <c r="L345" s="37">
        <f t="shared" si="158"/>
        <v>1</v>
      </c>
      <c r="M345">
        <v>0</v>
      </c>
      <c r="N345" s="35">
        <f t="shared" si="159"/>
        <v>0</v>
      </c>
      <c r="O345" s="18">
        <f t="shared" si="160"/>
        <v>1830</v>
      </c>
      <c r="P345" s="18">
        <f t="shared" si="161"/>
        <v>2450</v>
      </c>
      <c r="Q345" s="18">
        <f t="shared" si="162"/>
        <v>260</v>
      </c>
      <c r="R345" s="18">
        <f t="shared" si="163"/>
        <v>0</v>
      </c>
      <c r="S345" s="36">
        <f t="shared" si="164"/>
        <v>32510</v>
      </c>
      <c r="T345" s="37">
        <v>0</v>
      </c>
      <c r="U345" t="s">
        <v>146</v>
      </c>
      <c r="V345" t="s">
        <v>147</v>
      </c>
      <c r="W345" s="37" t="s">
        <v>257</v>
      </c>
      <c r="X345" t="s">
        <v>149</v>
      </c>
      <c r="Y345">
        <v>0</v>
      </c>
    </row>
    <row r="346" spans="1:25" x14ac:dyDescent="0.25">
      <c r="A346" t="s">
        <v>175</v>
      </c>
      <c r="B346">
        <v>2303</v>
      </c>
      <c r="C346">
        <v>4</v>
      </c>
      <c r="D346" t="s">
        <v>144</v>
      </c>
      <c r="E346" t="s">
        <v>176</v>
      </c>
      <c r="F346" s="16">
        <f t="shared" si="154"/>
        <v>4720</v>
      </c>
      <c r="G346" s="17">
        <f t="shared" si="155"/>
        <v>35.4</v>
      </c>
      <c r="H346" s="15">
        <f t="shared" si="165"/>
        <v>1</v>
      </c>
      <c r="I346" s="24">
        <f t="shared" si="156"/>
        <v>23.6</v>
      </c>
      <c r="J346">
        <v>0</v>
      </c>
      <c r="K346" s="37">
        <f t="shared" si="157"/>
        <v>4</v>
      </c>
      <c r="L346" s="37">
        <f t="shared" si="158"/>
        <v>1</v>
      </c>
      <c r="M346">
        <v>0</v>
      </c>
      <c r="N346" s="35">
        <f t="shared" si="159"/>
        <v>0</v>
      </c>
      <c r="O346" s="18">
        <f t="shared" si="160"/>
        <v>2510</v>
      </c>
      <c r="P346" s="18">
        <f t="shared" si="161"/>
        <v>3290</v>
      </c>
      <c r="Q346" s="18">
        <f t="shared" si="162"/>
        <v>530</v>
      </c>
      <c r="R346" s="18">
        <f t="shared" si="163"/>
        <v>0</v>
      </c>
      <c r="S346" s="36">
        <f t="shared" si="164"/>
        <v>37070</v>
      </c>
      <c r="T346" s="37">
        <v>0</v>
      </c>
      <c r="U346" t="s">
        <v>146</v>
      </c>
      <c r="V346" t="s">
        <v>147</v>
      </c>
      <c r="W346" s="37" t="s">
        <v>257</v>
      </c>
      <c r="X346" t="s">
        <v>149</v>
      </c>
      <c r="Y346">
        <v>0</v>
      </c>
    </row>
    <row r="347" spans="1:25" x14ac:dyDescent="0.25">
      <c r="A347" t="s">
        <v>175</v>
      </c>
      <c r="B347">
        <v>2303</v>
      </c>
      <c r="C347">
        <v>5</v>
      </c>
      <c r="D347" t="s">
        <v>144</v>
      </c>
      <c r="E347" t="s">
        <v>176</v>
      </c>
      <c r="F347" s="16">
        <f t="shared" si="154"/>
        <v>5120</v>
      </c>
      <c r="G347" s="17">
        <f t="shared" si="155"/>
        <v>38.4</v>
      </c>
      <c r="H347" s="15">
        <f t="shared" si="165"/>
        <v>1</v>
      </c>
      <c r="I347" s="24">
        <f t="shared" si="156"/>
        <v>25.6</v>
      </c>
      <c r="J347">
        <v>0</v>
      </c>
      <c r="K347" s="37">
        <f t="shared" si="157"/>
        <v>4</v>
      </c>
      <c r="L347" s="37">
        <f t="shared" si="158"/>
        <v>1</v>
      </c>
      <c r="M347">
        <v>0</v>
      </c>
      <c r="N347" s="35">
        <f t="shared" si="159"/>
        <v>0</v>
      </c>
      <c r="O347" s="18">
        <f t="shared" si="160"/>
        <v>3290</v>
      </c>
      <c r="P347" s="18">
        <f t="shared" si="161"/>
        <v>4240</v>
      </c>
      <c r="Q347" s="18">
        <f t="shared" si="162"/>
        <v>810</v>
      </c>
      <c r="R347" s="18">
        <f t="shared" si="163"/>
        <v>0</v>
      </c>
      <c r="S347" s="36">
        <f t="shared" si="164"/>
        <v>41960</v>
      </c>
      <c r="T347" s="37">
        <v>0</v>
      </c>
      <c r="U347" t="s">
        <v>146</v>
      </c>
      <c r="V347" t="s">
        <v>147</v>
      </c>
      <c r="W347" s="37" t="s">
        <v>257</v>
      </c>
      <c r="X347" t="s">
        <v>149</v>
      </c>
      <c r="Y347">
        <v>0</v>
      </c>
    </row>
    <row r="348" spans="1:25" x14ac:dyDescent="0.25">
      <c r="A348" t="s">
        <v>175</v>
      </c>
      <c r="B348">
        <v>2303</v>
      </c>
      <c r="C348">
        <v>6</v>
      </c>
      <c r="D348" t="s">
        <v>144</v>
      </c>
      <c r="E348" t="s">
        <v>176</v>
      </c>
      <c r="F348" s="16">
        <f t="shared" si="154"/>
        <v>5600</v>
      </c>
      <c r="G348" s="17">
        <f t="shared" si="155"/>
        <v>42</v>
      </c>
      <c r="H348" s="15">
        <f t="shared" si="165"/>
        <v>1</v>
      </c>
      <c r="I348" s="24">
        <f t="shared" si="156"/>
        <v>28</v>
      </c>
      <c r="J348">
        <v>0</v>
      </c>
      <c r="K348" s="37">
        <f t="shared" si="157"/>
        <v>4</v>
      </c>
      <c r="L348" s="37">
        <f t="shared" si="158"/>
        <v>1</v>
      </c>
      <c r="M348">
        <v>0</v>
      </c>
      <c r="N348" s="35">
        <f t="shared" si="159"/>
        <v>0</v>
      </c>
      <c r="O348" s="18">
        <f t="shared" si="160"/>
        <v>4200</v>
      </c>
      <c r="P348" s="18">
        <f t="shared" si="161"/>
        <v>5350</v>
      </c>
      <c r="Q348" s="18">
        <f t="shared" si="162"/>
        <v>1110</v>
      </c>
      <c r="R348" s="18">
        <f t="shared" si="163"/>
        <v>0</v>
      </c>
      <c r="S348" s="36">
        <f t="shared" si="164"/>
        <v>47200</v>
      </c>
      <c r="T348" s="37">
        <v>0</v>
      </c>
      <c r="U348" t="s">
        <v>146</v>
      </c>
      <c r="V348" t="s">
        <v>147</v>
      </c>
      <c r="W348" s="37" t="s">
        <v>257</v>
      </c>
      <c r="X348" t="s">
        <v>149</v>
      </c>
      <c r="Y348">
        <v>0</v>
      </c>
    </row>
    <row r="349" spans="1:25" x14ac:dyDescent="0.25">
      <c r="A349" t="s">
        <v>175</v>
      </c>
      <c r="B349">
        <v>2303</v>
      </c>
      <c r="C349">
        <v>7</v>
      </c>
      <c r="D349" t="s">
        <v>144</v>
      </c>
      <c r="E349" t="s">
        <v>176</v>
      </c>
      <c r="F349" s="16">
        <f t="shared" si="154"/>
        <v>6160</v>
      </c>
      <c r="G349" s="17">
        <f t="shared" si="155"/>
        <v>46.199999999999996</v>
      </c>
      <c r="H349" s="15">
        <f t="shared" si="165"/>
        <v>1</v>
      </c>
      <c r="I349" s="24">
        <f t="shared" si="156"/>
        <v>30.8</v>
      </c>
      <c r="J349">
        <v>0</v>
      </c>
      <c r="K349" s="37">
        <f t="shared" si="157"/>
        <v>4</v>
      </c>
      <c r="L349" s="37">
        <f t="shared" si="158"/>
        <v>1</v>
      </c>
      <c r="M349">
        <v>0</v>
      </c>
      <c r="N349" s="35">
        <f t="shared" si="159"/>
        <v>0</v>
      </c>
      <c r="O349" s="18">
        <f t="shared" si="160"/>
        <v>5260</v>
      </c>
      <c r="P349" s="18">
        <f t="shared" si="161"/>
        <v>6620</v>
      </c>
      <c r="Q349" s="18">
        <f t="shared" si="162"/>
        <v>1430</v>
      </c>
      <c r="R349" s="18">
        <f t="shared" si="163"/>
        <v>0</v>
      </c>
      <c r="S349" s="36">
        <f t="shared" si="164"/>
        <v>52820</v>
      </c>
      <c r="T349" s="37">
        <v>0</v>
      </c>
      <c r="U349" t="s">
        <v>146</v>
      </c>
      <c r="V349" t="s">
        <v>147</v>
      </c>
      <c r="W349" s="37" t="s">
        <v>257</v>
      </c>
      <c r="X349" t="s">
        <v>149</v>
      </c>
      <c r="Y349">
        <v>0</v>
      </c>
    </row>
    <row r="350" spans="1:25" x14ac:dyDescent="0.25">
      <c r="A350" t="s">
        <v>175</v>
      </c>
      <c r="B350">
        <v>2303</v>
      </c>
      <c r="C350">
        <v>8</v>
      </c>
      <c r="D350" t="s">
        <v>144</v>
      </c>
      <c r="E350" t="s">
        <v>176</v>
      </c>
      <c r="F350" s="16">
        <f t="shared" si="154"/>
        <v>6720</v>
      </c>
      <c r="G350" s="17">
        <f t="shared" si="155"/>
        <v>50.4</v>
      </c>
      <c r="H350" s="15">
        <f t="shared" si="165"/>
        <v>1</v>
      </c>
      <c r="I350" s="24">
        <f t="shared" si="156"/>
        <v>33.6</v>
      </c>
      <c r="J350">
        <v>0</v>
      </c>
      <c r="K350" s="37">
        <f t="shared" si="157"/>
        <v>4</v>
      </c>
      <c r="L350" s="37">
        <f t="shared" si="158"/>
        <v>1</v>
      </c>
      <c r="M350">
        <v>0</v>
      </c>
      <c r="N350" s="35">
        <f t="shared" si="159"/>
        <v>0</v>
      </c>
      <c r="O350" s="18">
        <f t="shared" si="160"/>
        <v>6490</v>
      </c>
      <c r="P350" s="18">
        <f t="shared" si="161"/>
        <v>8070</v>
      </c>
      <c r="Q350" s="18">
        <f t="shared" si="162"/>
        <v>1760</v>
      </c>
      <c r="R350" s="18">
        <f t="shared" si="163"/>
        <v>0</v>
      </c>
      <c r="S350" s="36">
        <f t="shared" si="164"/>
        <v>58850</v>
      </c>
      <c r="T350" s="37">
        <v>0</v>
      </c>
      <c r="U350" t="s">
        <v>146</v>
      </c>
      <c r="V350" t="s">
        <v>147</v>
      </c>
      <c r="W350" s="37" t="s">
        <v>257</v>
      </c>
      <c r="X350" t="s">
        <v>149</v>
      </c>
      <c r="Y350">
        <v>0</v>
      </c>
    </row>
    <row r="351" spans="1:25" x14ac:dyDescent="0.25">
      <c r="A351" t="s">
        <v>175</v>
      </c>
      <c r="B351">
        <v>2303</v>
      </c>
      <c r="C351">
        <v>9</v>
      </c>
      <c r="D351" t="s">
        <v>144</v>
      </c>
      <c r="E351" t="s">
        <v>176</v>
      </c>
      <c r="F351" s="16">
        <f t="shared" si="154"/>
        <v>7360</v>
      </c>
      <c r="G351" s="17">
        <f t="shared" si="155"/>
        <v>55.199999999999996</v>
      </c>
      <c r="H351" s="15">
        <f t="shared" si="165"/>
        <v>1</v>
      </c>
      <c r="I351" s="24">
        <f t="shared" si="156"/>
        <v>36.800000000000004</v>
      </c>
      <c r="J351">
        <v>0</v>
      </c>
      <c r="K351" s="37">
        <f t="shared" si="157"/>
        <v>4</v>
      </c>
      <c r="L351" s="37">
        <f t="shared" si="158"/>
        <v>1</v>
      </c>
      <c r="M351">
        <v>0</v>
      </c>
      <c r="N351" s="35">
        <f t="shared" si="159"/>
        <v>0</v>
      </c>
      <c r="O351" s="18">
        <f t="shared" si="160"/>
        <v>7920</v>
      </c>
      <c r="P351" s="18">
        <f t="shared" si="161"/>
        <v>9750</v>
      </c>
      <c r="Q351" s="18">
        <f t="shared" si="162"/>
        <v>2110</v>
      </c>
      <c r="R351" s="18">
        <f t="shared" si="163"/>
        <v>0</v>
      </c>
      <c r="S351" s="36">
        <f t="shared" si="164"/>
        <v>65320</v>
      </c>
      <c r="T351" s="37">
        <v>0</v>
      </c>
      <c r="U351" t="s">
        <v>146</v>
      </c>
      <c r="V351" t="s">
        <v>147</v>
      </c>
      <c r="W351" s="37" t="s">
        <v>257</v>
      </c>
      <c r="X351" t="s">
        <v>149</v>
      </c>
      <c r="Y351">
        <v>0</v>
      </c>
    </row>
    <row r="352" spans="1:25" x14ac:dyDescent="0.25">
      <c r="A352" t="s">
        <v>175</v>
      </c>
      <c r="B352">
        <v>2303</v>
      </c>
      <c r="C352">
        <v>10</v>
      </c>
      <c r="D352" t="s">
        <v>144</v>
      </c>
      <c r="E352" t="s">
        <v>176</v>
      </c>
      <c r="F352" s="16">
        <f t="shared" si="154"/>
        <v>8080</v>
      </c>
      <c r="G352" s="17">
        <f t="shared" si="155"/>
        <v>60.599999999999994</v>
      </c>
      <c r="H352" s="15">
        <f t="shared" si="165"/>
        <v>1</v>
      </c>
      <c r="I352" s="24">
        <f t="shared" si="156"/>
        <v>40.400000000000006</v>
      </c>
      <c r="J352">
        <v>0</v>
      </c>
      <c r="K352" s="37">
        <f t="shared" si="157"/>
        <v>4</v>
      </c>
      <c r="L352" s="37">
        <f t="shared" si="158"/>
        <v>1</v>
      </c>
      <c r="M352">
        <v>0</v>
      </c>
      <c r="N352" s="35">
        <f t="shared" si="159"/>
        <v>0</v>
      </c>
      <c r="O352" s="18">
        <f t="shared" si="160"/>
        <v>9580</v>
      </c>
      <c r="P352" s="18">
        <f t="shared" si="161"/>
        <v>11680</v>
      </c>
      <c r="Q352" s="18">
        <f t="shared" si="162"/>
        <v>2470</v>
      </c>
      <c r="R352" s="18">
        <f t="shared" si="163"/>
        <v>0</v>
      </c>
      <c r="S352" s="36">
        <f t="shared" si="164"/>
        <v>72250</v>
      </c>
      <c r="T352" s="37">
        <v>0</v>
      </c>
      <c r="U352" t="s">
        <v>146</v>
      </c>
      <c r="V352" t="s">
        <v>147</v>
      </c>
      <c r="W352" s="37" t="s">
        <v>257</v>
      </c>
      <c r="X352" t="s">
        <v>149</v>
      </c>
      <c r="Y352">
        <v>0</v>
      </c>
    </row>
    <row r="353" spans="1:25" x14ac:dyDescent="0.25">
      <c r="G353" s="15"/>
      <c r="H353" s="15"/>
    </row>
    <row r="354" spans="1:25" x14ac:dyDescent="0.25">
      <c r="A354" t="s">
        <v>203</v>
      </c>
      <c r="B354" s="15" t="s">
        <v>201</v>
      </c>
      <c r="C354">
        <v>10</v>
      </c>
      <c r="G354" s="15"/>
      <c r="H354" s="15"/>
      <c r="K354" s="7" t="s">
        <v>1</v>
      </c>
      <c r="L354" s="8" t="s">
        <v>2</v>
      </c>
      <c r="M354" s="8" t="s">
        <v>194</v>
      </c>
      <c r="N354" s="33" t="s">
        <v>204</v>
      </c>
      <c r="O354" s="12" t="s">
        <v>205</v>
      </c>
    </row>
    <row r="355" spans="1:25" x14ac:dyDescent="0.25">
      <c r="A355" t="s">
        <v>203</v>
      </c>
      <c r="B355" t="s">
        <v>202</v>
      </c>
      <c r="C355">
        <v>3</v>
      </c>
      <c r="G355" s="15"/>
      <c r="H355" s="15" t="s">
        <v>132</v>
      </c>
      <c r="K355">
        <v>0.2</v>
      </c>
      <c r="L355">
        <v>-3</v>
      </c>
      <c r="M355">
        <v>500</v>
      </c>
    </row>
    <row r="356" spans="1:25" x14ac:dyDescent="0.25">
      <c r="A356" t="s">
        <v>203</v>
      </c>
      <c r="B356" t="s">
        <v>128</v>
      </c>
      <c r="C356" t="s">
        <v>121</v>
      </c>
      <c r="G356" s="15"/>
      <c r="H356" s="15" t="s">
        <v>133</v>
      </c>
      <c r="K356">
        <v>0.21</v>
      </c>
      <c r="L356">
        <v>200</v>
      </c>
      <c r="M356">
        <v>3000</v>
      </c>
    </row>
    <row r="357" spans="1:25" x14ac:dyDescent="0.25">
      <c r="A357" t="s">
        <v>203</v>
      </c>
      <c r="G357" s="15"/>
      <c r="H357" s="15" t="s">
        <v>198</v>
      </c>
      <c r="K357">
        <v>0.25</v>
      </c>
      <c r="L357">
        <v>320</v>
      </c>
      <c r="M357">
        <v>5000</v>
      </c>
    </row>
    <row r="358" spans="1:25" x14ac:dyDescent="0.25">
      <c r="A358" t="s">
        <v>203</v>
      </c>
      <c r="G358" s="15"/>
      <c r="H358" s="15" t="s">
        <v>135</v>
      </c>
      <c r="K358">
        <v>0.2</v>
      </c>
      <c r="L358">
        <v>-7</v>
      </c>
      <c r="M358">
        <v>500</v>
      </c>
    </row>
    <row r="359" spans="1:25" x14ac:dyDescent="0.25">
      <c r="A359" t="s">
        <v>203</v>
      </c>
      <c r="G359" s="15"/>
      <c r="H359" s="15" t="s">
        <v>136</v>
      </c>
      <c r="K359">
        <v>0</v>
      </c>
      <c r="L359">
        <v>0</v>
      </c>
      <c r="M359">
        <v>0</v>
      </c>
    </row>
    <row r="360" spans="1:25" x14ac:dyDescent="0.25">
      <c r="A360" t="s">
        <v>203</v>
      </c>
      <c r="G360" s="15"/>
      <c r="H360" s="15" t="s">
        <v>69</v>
      </c>
      <c r="K360">
        <v>0.15</v>
      </c>
      <c r="L360" s="15">
        <v>3600</v>
      </c>
      <c r="M360" s="21">
        <v>25000</v>
      </c>
      <c r="N360" s="34" t="str">
        <f>TEXT(L360/86400,CHOOSE(MATCH(L360,{0,60,3600},1),":ss","m:ss","[h]:mm:ss"))</f>
        <v>1:00:00</v>
      </c>
      <c r="O360" s="11" t="str">
        <f>TEXT(M360/86400,CHOOSE(MATCH(M360,{0,60,3600},1),":ss","m:ss","[h]:mm:ss"))</f>
        <v>6:56:40</v>
      </c>
    </row>
    <row r="361" spans="1:25" x14ac:dyDescent="0.25">
      <c r="G361" s="15"/>
      <c r="H361" s="15"/>
      <c r="L361" s="3"/>
      <c r="M361" s="3"/>
    </row>
    <row r="362" spans="1:25" x14ac:dyDescent="0.25">
      <c r="A362" t="s">
        <v>177</v>
      </c>
      <c r="B362">
        <v>2402</v>
      </c>
      <c r="C362">
        <v>0</v>
      </c>
      <c r="D362" t="s">
        <v>144</v>
      </c>
      <c r="E362" t="s">
        <v>145</v>
      </c>
      <c r="F362" s="16">
        <v>500</v>
      </c>
      <c r="G362" s="15">
        <v>0</v>
      </c>
      <c r="H362" s="15">
        <v>0</v>
      </c>
      <c r="I362" s="24">
        <v>0</v>
      </c>
      <c r="J362">
        <v>0</v>
      </c>
      <c r="K362">
        <v>0</v>
      </c>
      <c r="L362">
        <v>0</v>
      </c>
      <c r="M362">
        <v>0</v>
      </c>
      <c r="N362" s="16">
        <v>0</v>
      </c>
      <c r="O362">
        <v>0</v>
      </c>
      <c r="P362">
        <v>0</v>
      </c>
      <c r="Q362">
        <v>0</v>
      </c>
      <c r="R362">
        <v>0</v>
      </c>
      <c r="S362" s="21">
        <v>0</v>
      </c>
      <c r="T362">
        <v>0</v>
      </c>
      <c r="U362" s="37" t="s">
        <v>121</v>
      </c>
      <c r="V362" t="s">
        <v>147</v>
      </c>
      <c r="W362" s="37" t="s">
        <v>256</v>
      </c>
      <c r="X362" t="s">
        <v>149</v>
      </c>
      <c r="Y362">
        <v>0</v>
      </c>
    </row>
    <row r="363" spans="1:25" x14ac:dyDescent="0.25">
      <c r="A363" t="s">
        <v>177</v>
      </c>
      <c r="B363">
        <v>2402</v>
      </c>
      <c r="C363">
        <v>1</v>
      </c>
      <c r="D363" t="s">
        <v>144</v>
      </c>
      <c r="E363" t="s">
        <v>180</v>
      </c>
      <c r="F363" s="16">
        <f t="shared" ref="F363:F372" si="166">VLOOKUP($C$356,$C$4:$M$9,4,FALSE)*(LOOKUP($C$355,$B$13:$B$28,$C$13:$C$28)+LOOKUP($C363,$B$13:$B$28,$D$13:$D$28))</f>
        <v>4200</v>
      </c>
      <c r="G363" s="17">
        <f t="shared" ref="G363:G371" si="167">VLOOKUP($C$356,$C$4:$M$9,5,FALSE)*(LOOKUP($C$355,$B$13:$B$28,$C$13:$C$28)+LOOKUP($C363,$B$13:$B$28,$D$13:$D$28))</f>
        <v>56</v>
      </c>
      <c r="H363" s="15">
        <f t="shared" ref="H363:H372" si="168">VLOOKUP($C$356,$C$4:$M$9,6,FALSE)</f>
        <v>1</v>
      </c>
      <c r="I363" s="24">
        <f t="shared" ref="I363:I372" si="169">VLOOKUP($C$356,$C$4:$M$9,7,FALSE)*(LOOKUP($C$355,$B$13:$B$28,$C$13:$C$28)+LOOKUP($C363,$B$13:$B$28,$D$13:$D$28))</f>
        <v>28</v>
      </c>
      <c r="J363">
        <v>3</v>
      </c>
      <c r="K363">
        <f t="shared" ref="K363:K372" si="170">VLOOKUP($C$356,$C$4:$M$9,9,FALSE)</f>
        <v>2</v>
      </c>
      <c r="L363">
        <f t="shared" ref="L363:L372" si="171">VLOOKUP($C$356,$C$4:$M$9,10,FALSE)</f>
        <v>2</v>
      </c>
      <c r="M363">
        <v>0</v>
      </c>
      <c r="N363" s="35">
        <f>ROUND(GetValue($C363,$C$354,$K$355,$L$355,$M$355),-1)</f>
        <v>0</v>
      </c>
      <c r="O363" s="18">
        <f>ROUND(GetValue($C363,$C$354,$K$356,$L$356,$M$356),-1)</f>
        <v>200</v>
      </c>
      <c r="P363" s="18">
        <f>ROUND(GetValue($C363,$C$354,$K$357,$L$357,$M$357),-1)</f>
        <v>320</v>
      </c>
      <c r="Q363" s="18">
        <f>ROUND(GetValue($C363,$C$354,$K$358,$L$358,$M$358),-1)</f>
        <v>0</v>
      </c>
      <c r="R363" s="18">
        <f>ROUND(GetValue($C363,$C$354,$K$359,$L$359,$M$359),-1)</f>
        <v>0</v>
      </c>
      <c r="S363" s="36">
        <f>ROUND(GetValue($C363,$C$354,$K$360,$L$360,$M$360),-1)</f>
        <v>3600</v>
      </c>
      <c r="T363" s="37">
        <v>0</v>
      </c>
      <c r="U363" s="37" t="s">
        <v>121</v>
      </c>
      <c r="V363" t="s">
        <v>147</v>
      </c>
      <c r="W363" s="37" t="s">
        <v>256</v>
      </c>
      <c r="X363" t="s">
        <v>149</v>
      </c>
      <c r="Y363">
        <v>0</v>
      </c>
    </row>
    <row r="364" spans="1:25" x14ac:dyDescent="0.25">
      <c r="A364" t="s">
        <v>177</v>
      </c>
      <c r="B364">
        <v>2402</v>
      </c>
      <c r="C364">
        <v>2</v>
      </c>
      <c r="D364" t="s">
        <v>144</v>
      </c>
      <c r="E364" t="s">
        <v>180</v>
      </c>
      <c r="F364" s="16">
        <f t="shared" si="166"/>
        <v>4650</v>
      </c>
      <c r="G364" s="17">
        <f t="shared" si="167"/>
        <v>62</v>
      </c>
      <c r="H364" s="15">
        <f t="shared" si="168"/>
        <v>1</v>
      </c>
      <c r="I364" s="24">
        <f t="shared" si="169"/>
        <v>31</v>
      </c>
      <c r="J364">
        <v>3</v>
      </c>
      <c r="K364" s="37">
        <f t="shared" si="170"/>
        <v>2</v>
      </c>
      <c r="L364" s="37">
        <f t="shared" si="171"/>
        <v>2</v>
      </c>
      <c r="M364">
        <v>0</v>
      </c>
      <c r="N364" s="35">
        <f t="shared" ref="N364:N372" si="172">ROUND(GetValue($C364,$C$354,$K$355,$L$355,$M$355),-1)</f>
        <v>0</v>
      </c>
      <c r="O364" s="18">
        <f t="shared" ref="O364:O372" si="173">ROUND(GetValue($C364,$C$354,$K$356,$L$356,$M$356),-1)</f>
        <v>310</v>
      </c>
      <c r="P364" s="18">
        <f t="shared" ref="P364:P372" si="174">ROUND(GetValue($C364,$C$354,$K$357,$L$357,$M$357),-1)</f>
        <v>480</v>
      </c>
      <c r="Q364" s="18">
        <f t="shared" ref="Q364:Q372" si="175">ROUND(GetValue($C364,$C$354,$K$358,$L$358,$M$358),-1)</f>
        <v>0</v>
      </c>
      <c r="R364" s="18">
        <f t="shared" ref="R364:R372" si="176">ROUND(GetValue($C364,$C$354,$K$359,$L$359,$M$359),-1)</f>
        <v>0</v>
      </c>
      <c r="S364" s="36">
        <f t="shared" ref="S364:S372" si="177">ROUND(GetValue($C364,$C$354,$K$360,$L$360,$M$360),-1)</f>
        <v>4800</v>
      </c>
      <c r="T364" s="37">
        <v>0</v>
      </c>
      <c r="U364" s="37" t="s">
        <v>121</v>
      </c>
      <c r="V364" t="s">
        <v>147</v>
      </c>
      <c r="W364" s="37" t="s">
        <v>256</v>
      </c>
      <c r="X364" t="s">
        <v>149</v>
      </c>
      <c r="Y364">
        <v>0</v>
      </c>
    </row>
    <row r="365" spans="1:25" x14ac:dyDescent="0.25">
      <c r="A365" t="s">
        <v>177</v>
      </c>
      <c r="B365">
        <v>2402</v>
      </c>
      <c r="C365">
        <v>3</v>
      </c>
      <c r="D365" t="s">
        <v>144</v>
      </c>
      <c r="E365" t="s">
        <v>180</v>
      </c>
      <c r="F365" s="16">
        <f t="shared" si="166"/>
        <v>5400</v>
      </c>
      <c r="G365" s="17">
        <f t="shared" si="167"/>
        <v>72</v>
      </c>
      <c r="H365" s="15">
        <f t="shared" si="168"/>
        <v>1</v>
      </c>
      <c r="I365" s="24">
        <f t="shared" si="169"/>
        <v>36</v>
      </c>
      <c r="J365">
        <v>3</v>
      </c>
      <c r="K365" s="37">
        <f t="shared" si="170"/>
        <v>2</v>
      </c>
      <c r="L365" s="37">
        <f t="shared" si="171"/>
        <v>2</v>
      </c>
      <c r="M365">
        <v>0</v>
      </c>
      <c r="N365" s="35">
        <f t="shared" si="172"/>
        <v>0</v>
      </c>
      <c r="O365" s="18">
        <f t="shared" si="173"/>
        <v>450</v>
      </c>
      <c r="P365" s="18">
        <f t="shared" si="174"/>
        <v>680</v>
      </c>
      <c r="Q365" s="18">
        <f t="shared" si="175"/>
        <v>0</v>
      </c>
      <c r="R365" s="18">
        <f t="shared" si="176"/>
        <v>0</v>
      </c>
      <c r="S365" s="36">
        <f t="shared" si="177"/>
        <v>6190</v>
      </c>
      <c r="T365" s="37">
        <v>0</v>
      </c>
      <c r="U365" s="37" t="s">
        <v>121</v>
      </c>
      <c r="V365" t="s">
        <v>147</v>
      </c>
      <c r="W365" s="37" t="s">
        <v>256</v>
      </c>
      <c r="X365" t="s">
        <v>149</v>
      </c>
      <c r="Y365">
        <v>0</v>
      </c>
    </row>
    <row r="366" spans="1:25" x14ac:dyDescent="0.25">
      <c r="A366" t="s">
        <v>177</v>
      </c>
      <c r="B366">
        <v>2402</v>
      </c>
      <c r="C366">
        <v>4</v>
      </c>
      <c r="D366" t="s">
        <v>144</v>
      </c>
      <c r="E366" t="s">
        <v>180</v>
      </c>
      <c r="F366" s="16">
        <f t="shared" si="166"/>
        <v>6300</v>
      </c>
      <c r="G366" s="17">
        <f t="shared" si="167"/>
        <v>84</v>
      </c>
      <c r="H366" s="15">
        <f t="shared" si="168"/>
        <v>1</v>
      </c>
      <c r="I366" s="24">
        <f t="shared" si="169"/>
        <v>42</v>
      </c>
      <c r="J366">
        <v>4</v>
      </c>
      <c r="K366" s="37">
        <f t="shared" si="170"/>
        <v>2</v>
      </c>
      <c r="L366" s="37">
        <f t="shared" si="171"/>
        <v>2</v>
      </c>
      <c r="M366">
        <v>0</v>
      </c>
      <c r="N366" s="35">
        <f t="shared" si="172"/>
        <v>30</v>
      </c>
      <c r="O366" s="18">
        <f t="shared" si="173"/>
        <v>620</v>
      </c>
      <c r="P366" s="18">
        <f t="shared" si="174"/>
        <v>950</v>
      </c>
      <c r="Q366" s="18">
        <f t="shared" si="175"/>
        <v>0</v>
      </c>
      <c r="R366" s="18">
        <f t="shared" si="176"/>
        <v>0</v>
      </c>
      <c r="S366" s="36">
        <f t="shared" si="177"/>
        <v>7810</v>
      </c>
      <c r="T366" s="37">
        <v>0</v>
      </c>
      <c r="U366" s="37" t="s">
        <v>121</v>
      </c>
      <c r="V366" t="s">
        <v>147</v>
      </c>
      <c r="W366" s="37" t="s">
        <v>256</v>
      </c>
      <c r="X366" t="s">
        <v>149</v>
      </c>
      <c r="Y366">
        <v>0</v>
      </c>
    </row>
    <row r="367" spans="1:25" x14ac:dyDescent="0.25">
      <c r="A367" t="s">
        <v>177</v>
      </c>
      <c r="B367">
        <v>2402</v>
      </c>
      <c r="C367">
        <v>5</v>
      </c>
      <c r="D367" t="s">
        <v>144</v>
      </c>
      <c r="E367" t="s">
        <v>180</v>
      </c>
      <c r="F367" s="16">
        <f t="shared" si="166"/>
        <v>7050</v>
      </c>
      <c r="G367" s="17">
        <f t="shared" si="167"/>
        <v>94</v>
      </c>
      <c r="H367" s="15">
        <f t="shared" si="168"/>
        <v>1</v>
      </c>
      <c r="I367" s="24">
        <f t="shared" si="169"/>
        <v>47</v>
      </c>
      <c r="J367">
        <v>4</v>
      </c>
      <c r="K367" s="37">
        <f t="shared" si="170"/>
        <v>2</v>
      </c>
      <c r="L367" s="37">
        <f t="shared" si="171"/>
        <v>2</v>
      </c>
      <c r="M367">
        <v>0</v>
      </c>
      <c r="N367" s="35">
        <f t="shared" si="172"/>
        <v>60</v>
      </c>
      <c r="O367" s="18">
        <f t="shared" si="173"/>
        <v>840</v>
      </c>
      <c r="P367" s="18">
        <f t="shared" si="174"/>
        <v>1280</v>
      </c>
      <c r="Q367" s="18">
        <f t="shared" si="175"/>
        <v>0</v>
      </c>
      <c r="R367" s="18">
        <f t="shared" si="176"/>
        <v>0</v>
      </c>
      <c r="S367" s="36">
        <f t="shared" si="177"/>
        <v>9700</v>
      </c>
      <c r="T367" s="37">
        <v>0</v>
      </c>
      <c r="U367" s="37" t="s">
        <v>121</v>
      </c>
      <c r="V367" t="s">
        <v>147</v>
      </c>
      <c r="W367" s="37" t="s">
        <v>256</v>
      </c>
      <c r="X367" t="s">
        <v>149</v>
      </c>
      <c r="Y367">
        <v>0</v>
      </c>
    </row>
    <row r="368" spans="1:25" x14ac:dyDescent="0.25">
      <c r="A368" t="s">
        <v>177</v>
      </c>
      <c r="B368">
        <v>2402</v>
      </c>
      <c r="C368">
        <v>6</v>
      </c>
      <c r="D368" t="s">
        <v>144</v>
      </c>
      <c r="E368" t="s">
        <v>180</v>
      </c>
      <c r="F368" s="16">
        <f t="shared" si="166"/>
        <v>7950</v>
      </c>
      <c r="G368" s="17">
        <f t="shared" si="167"/>
        <v>106</v>
      </c>
      <c r="H368" s="15">
        <f t="shared" si="168"/>
        <v>1</v>
      </c>
      <c r="I368" s="24">
        <f t="shared" si="169"/>
        <v>53</v>
      </c>
      <c r="J368">
        <v>4</v>
      </c>
      <c r="K368" s="37">
        <f t="shared" si="170"/>
        <v>2</v>
      </c>
      <c r="L368" s="37">
        <f t="shared" si="171"/>
        <v>2</v>
      </c>
      <c r="M368">
        <v>0</v>
      </c>
      <c r="N368" s="35">
        <f t="shared" si="172"/>
        <v>100</v>
      </c>
      <c r="O368" s="18">
        <f t="shared" si="173"/>
        <v>1100</v>
      </c>
      <c r="P368" s="18">
        <f t="shared" si="174"/>
        <v>1720</v>
      </c>
      <c r="Q368" s="18">
        <f t="shared" si="175"/>
        <v>0</v>
      </c>
      <c r="R368" s="18">
        <f t="shared" si="176"/>
        <v>0</v>
      </c>
      <c r="S368" s="36">
        <f t="shared" si="177"/>
        <v>11880</v>
      </c>
      <c r="T368" s="37">
        <v>0</v>
      </c>
      <c r="U368" s="37" t="s">
        <v>121</v>
      </c>
      <c r="V368" t="s">
        <v>147</v>
      </c>
      <c r="W368" s="37" t="s">
        <v>256</v>
      </c>
      <c r="X368" t="s">
        <v>149</v>
      </c>
      <c r="Y368">
        <v>0</v>
      </c>
    </row>
    <row r="369" spans="1:25" x14ac:dyDescent="0.25">
      <c r="A369" t="s">
        <v>177</v>
      </c>
      <c r="B369">
        <v>2402</v>
      </c>
      <c r="C369">
        <v>7</v>
      </c>
      <c r="D369" t="s">
        <v>144</v>
      </c>
      <c r="E369" t="s">
        <v>180</v>
      </c>
      <c r="F369" s="16">
        <f t="shared" si="166"/>
        <v>9000</v>
      </c>
      <c r="G369" s="17">
        <f t="shared" si="167"/>
        <v>120</v>
      </c>
      <c r="H369" s="15">
        <f t="shared" si="168"/>
        <v>1</v>
      </c>
      <c r="I369" s="24">
        <f t="shared" si="169"/>
        <v>60</v>
      </c>
      <c r="J369">
        <v>5</v>
      </c>
      <c r="K369" s="37">
        <f t="shared" si="170"/>
        <v>2</v>
      </c>
      <c r="L369" s="37">
        <f t="shared" si="171"/>
        <v>2</v>
      </c>
      <c r="M369">
        <v>0</v>
      </c>
      <c r="N369" s="35">
        <f t="shared" si="172"/>
        <v>150</v>
      </c>
      <c r="O369" s="18">
        <f t="shared" si="173"/>
        <v>1420</v>
      </c>
      <c r="P369" s="18">
        <f t="shared" si="174"/>
        <v>2270</v>
      </c>
      <c r="Q369" s="18">
        <f t="shared" si="175"/>
        <v>0</v>
      </c>
      <c r="R369" s="18">
        <f t="shared" si="176"/>
        <v>0</v>
      </c>
      <c r="S369" s="36">
        <f t="shared" si="177"/>
        <v>14420</v>
      </c>
      <c r="T369" s="37">
        <v>0</v>
      </c>
      <c r="U369" s="37" t="s">
        <v>121</v>
      </c>
      <c r="V369" t="s">
        <v>147</v>
      </c>
      <c r="W369" s="37" t="s">
        <v>256</v>
      </c>
      <c r="X369" t="s">
        <v>149</v>
      </c>
      <c r="Y369">
        <v>0</v>
      </c>
    </row>
    <row r="370" spans="1:25" x14ac:dyDescent="0.25">
      <c r="A370" t="s">
        <v>177</v>
      </c>
      <c r="B370">
        <v>2402</v>
      </c>
      <c r="C370">
        <v>8</v>
      </c>
      <c r="D370" t="s">
        <v>144</v>
      </c>
      <c r="E370" t="s">
        <v>180</v>
      </c>
      <c r="F370" s="16">
        <f t="shared" si="166"/>
        <v>10050</v>
      </c>
      <c r="G370" s="17">
        <f t="shared" si="167"/>
        <v>134</v>
      </c>
      <c r="H370" s="15">
        <f t="shared" si="168"/>
        <v>1</v>
      </c>
      <c r="I370" s="24">
        <f t="shared" si="169"/>
        <v>67</v>
      </c>
      <c r="J370">
        <v>5</v>
      </c>
      <c r="K370" s="37">
        <f t="shared" si="170"/>
        <v>2</v>
      </c>
      <c r="L370" s="37">
        <f t="shared" si="171"/>
        <v>2</v>
      </c>
      <c r="M370">
        <v>0</v>
      </c>
      <c r="N370" s="35">
        <f t="shared" si="172"/>
        <v>210</v>
      </c>
      <c r="O370" s="18">
        <f t="shared" si="173"/>
        <v>1820</v>
      </c>
      <c r="P370" s="18">
        <f t="shared" si="174"/>
        <v>2990</v>
      </c>
      <c r="Q370" s="18">
        <f t="shared" si="175"/>
        <v>60</v>
      </c>
      <c r="R370" s="18">
        <f t="shared" si="176"/>
        <v>0</v>
      </c>
      <c r="S370" s="36">
        <f t="shared" si="177"/>
        <v>17370</v>
      </c>
      <c r="T370" s="37">
        <v>0</v>
      </c>
      <c r="U370" s="37" t="s">
        <v>121</v>
      </c>
      <c r="V370" t="s">
        <v>147</v>
      </c>
      <c r="W370" s="37" t="s">
        <v>256</v>
      </c>
      <c r="X370" t="s">
        <v>149</v>
      </c>
      <c r="Y370">
        <v>0</v>
      </c>
    </row>
    <row r="371" spans="1:25" x14ac:dyDescent="0.25">
      <c r="A371" t="s">
        <v>177</v>
      </c>
      <c r="B371">
        <v>2402</v>
      </c>
      <c r="C371">
        <v>9</v>
      </c>
      <c r="D371" t="s">
        <v>144</v>
      </c>
      <c r="E371" t="s">
        <v>180</v>
      </c>
      <c r="F371" s="16">
        <f t="shared" si="166"/>
        <v>11250</v>
      </c>
      <c r="G371" s="17">
        <f t="shared" si="167"/>
        <v>150</v>
      </c>
      <c r="H371" s="15">
        <f t="shared" si="168"/>
        <v>1</v>
      </c>
      <c r="I371" s="24">
        <f t="shared" si="169"/>
        <v>75</v>
      </c>
      <c r="J371">
        <v>5</v>
      </c>
      <c r="K371" s="37">
        <f t="shared" si="170"/>
        <v>2</v>
      </c>
      <c r="L371" s="37">
        <f t="shared" si="171"/>
        <v>2</v>
      </c>
      <c r="M371">
        <v>0</v>
      </c>
      <c r="N371" s="35">
        <f t="shared" si="172"/>
        <v>290</v>
      </c>
      <c r="O371" s="18">
        <f t="shared" si="173"/>
        <v>2310</v>
      </c>
      <c r="P371" s="18">
        <f t="shared" si="174"/>
        <v>3900</v>
      </c>
      <c r="Q371" s="18">
        <f t="shared" si="175"/>
        <v>130</v>
      </c>
      <c r="R371" s="18">
        <f t="shared" si="176"/>
        <v>0</v>
      </c>
      <c r="S371" s="36">
        <f t="shared" si="177"/>
        <v>20800</v>
      </c>
      <c r="T371" s="37">
        <v>0</v>
      </c>
      <c r="U371" s="37" t="s">
        <v>121</v>
      </c>
      <c r="V371" t="s">
        <v>147</v>
      </c>
      <c r="W371" s="37" t="s">
        <v>256</v>
      </c>
      <c r="X371" t="s">
        <v>149</v>
      </c>
      <c r="Y371">
        <v>0</v>
      </c>
    </row>
    <row r="372" spans="1:25" x14ac:dyDescent="0.25">
      <c r="A372" t="s">
        <v>177</v>
      </c>
      <c r="B372">
        <v>2402</v>
      </c>
      <c r="C372">
        <v>10</v>
      </c>
      <c r="D372" t="s">
        <v>144</v>
      </c>
      <c r="E372" t="s">
        <v>180</v>
      </c>
      <c r="F372" s="16">
        <f t="shared" si="166"/>
        <v>12600</v>
      </c>
      <c r="G372" s="17">
        <f>VLOOKUP($C$356,$C$4:$M$9,5,FALSE)*(LOOKUP($C$355,$B$13:$B$28,$C$13:$C$28)+LOOKUP($C372,$B$13:$B$28,$D$13:$D$28))</f>
        <v>168</v>
      </c>
      <c r="H372" s="15">
        <f t="shared" si="168"/>
        <v>1</v>
      </c>
      <c r="I372" s="24">
        <f t="shared" si="169"/>
        <v>84</v>
      </c>
      <c r="J372">
        <v>6</v>
      </c>
      <c r="K372" s="37">
        <f t="shared" si="170"/>
        <v>2</v>
      </c>
      <c r="L372" s="37">
        <f t="shared" si="171"/>
        <v>2</v>
      </c>
      <c r="M372">
        <v>0</v>
      </c>
      <c r="N372" s="35">
        <f t="shared" si="172"/>
        <v>380</v>
      </c>
      <c r="O372" s="18">
        <f t="shared" si="173"/>
        <v>2920</v>
      </c>
      <c r="P372" s="18">
        <f t="shared" si="174"/>
        <v>5080</v>
      </c>
      <c r="Q372" s="18">
        <f t="shared" si="175"/>
        <v>230</v>
      </c>
      <c r="R372" s="18">
        <f t="shared" si="176"/>
        <v>0</v>
      </c>
      <c r="S372" s="36">
        <f t="shared" si="177"/>
        <v>24790</v>
      </c>
      <c r="T372" s="37">
        <v>0</v>
      </c>
      <c r="U372" s="37" t="s">
        <v>121</v>
      </c>
      <c r="V372" t="s">
        <v>147</v>
      </c>
      <c r="W372" s="37" t="s">
        <v>256</v>
      </c>
      <c r="X372" t="s">
        <v>149</v>
      </c>
      <c r="Y372">
        <v>0</v>
      </c>
    </row>
    <row r="373" spans="1:25" x14ac:dyDescent="0.25">
      <c r="G373" s="15"/>
      <c r="H373" s="15"/>
    </row>
    <row r="374" spans="1:25" x14ac:dyDescent="0.25">
      <c r="A374" t="s">
        <v>203</v>
      </c>
      <c r="B374" s="15" t="s">
        <v>201</v>
      </c>
      <c r="C374">
        <v>10</v>
      </c>
      <c r="G374" s="15"/>
      <c r="H374" s="15"/>
      <c r="K374" s="7" t="s">
        <v>1</v>
      </c>
      <c r="L374" s="8" t="s">
        <v>2</v>
      </c>
      <c r="M374" s="8" t="s">
        <v>194</v>
      </c>
      <c r="N374" s="33" t="s">
        <v>204</v>
      </c>
      <c r="O374" s="12" t="s">
        <v>205</v>
      </c>
    </row>
    <row r="375" spans="1:25" x14ac:dyDescent="0.25">
      <c r="A375" t="s">
        <v>203</v>
      </c>
      <c r="B375" t="s">
        <v>202</v>
      </c>
      <c r="C375">
        <v>3</v>
      </c>
      <c r="G375" s="15"/>
      <c r="H375" s="15" t="s">
        <v>132</v>
      </c>
      <c r="K375" s="37">
        <v>0.2</v>
      </c>
      <c r="L375" s="37">
        <v>-3</v>
      </c>
      <c r="M375" s="37">
        <v>500</v>
      </c>
    </row>
    <row r="376" spans="1:25" x14ac:dyDescent="0.25">
      <c r="A376" t="s">
        <v>203</v>
      </c>
      <c r="B376" t="s">
        <v>128</v>
      </c>
      <c r="C376" t="s">
        <v>121</v>
      </c>
      <c r="G376" s="15"/>
      <c r="H376" s="15" t="s">
        <v>133</v>
      </c>
      <c r="K376" s="37">
        <v>0.21</v>
      </c>
      <c r="L376" s="37">
        <v>200</v>
      </c>
      <c r="M376" s="37">
        <v>3000</v>
      </c>
    </row>
    <row r="377" spans="1:25" x14ac:dyDescent="0.25">
      <c r="A377" t="s">
        <v>203</v>
      </c>
      <c r="G377" s="15"/>
      <c r="H377" s="15" t="s">
        <v>198</v>
      </c>
      <c r="K377" s="37">
        <v>0.25</v>
      </c>
      <c r="L377" s="37">
        <v>320</v>
      </c>
      <c r="M377" s="37">
        <v>5000</v>
      </c>
    </row>
    <row r="378" spans="1:25" x14ac:dyDescent="0.25">
      <c r="A378" t="s">
        <v>203</v>
      </c>
      <c r="G378" s="15"/>
      <c r="H378" s="15" t="s">
        <v>135</v>
      </c>
      <c r="K378" s="37">
        <v>0.2</v>
      </c>
      <c r="L378" s="37">
        <v>-7</v>
      </c>
      <c r="M378" s="37">
        <v>500</v>
      </c>
    </row>
    <row r="379" spans="1:25" x14ac:dyDescent="0.25">
      <c r="A379" t="s">
        <v>203</v>
      </c>
      <c r="G379" s="15"/>
      <c r="H379" s="15" t="s">
        <v>136</v>
      </c>
      <c r="K379" s="37">
        <v>0</v>
      </c>
      <c r="L379" s="37">
        <v>0</v>
      </c>
      <c r="M379" s="37">
        <v>0</v>
      </c>
    </row>
    <row r="380" spans="1:25" x14ac:dyDescent="0.25">
      <c r="A380" t="s">
        <v>203</v>
      </c>
      <c r="G380" s="15"/>
      <c r="H380" s="15" t="s">
        <v>69</v>
      </c>
      <c r="K380" s="37">
        <v>0.15</v>
      </c>
      <c r="L380" s="15">
        <v>7200</v>
      </c>
      <c r="M380" s="21">
        <v>25000</v>
      </c>
      <c r="N380" s="34" t="str">
        <f>TEXT(L380/86400,CHOOSE(MATCH(L380,{0,60,3600},1),":ss","m:ss","[h]:mm:ss"))</f>
        <v>2:00:00</v>
      </c>
      <c r="O380" s="11" t="str">
        <f>TEXT(M380/86400,CHOOSE(MATCH(M380,{0,60,3600},1),":ss","m:ss","[h]:mm:ss"))</f>
        <v>6:56:40</v>
      </c>
    </row>
    <row r="381" spans="1:25" x14ac:dyDescent="0.25">
      <c r="G381" s="15"/>
      <c r="H381" s="15"/>
      <c r="L381" s="3"/>
      <c r="M381" s="3"/>
    </row>
    <row r="382" spans="1:25" x14ac:dyDescent="0.25">
      <c r="A382" t="s">
        <v>181</v>
      </c>
      <c r="B382">
        <v>2403</v>
      </c>
      <c r="C382">
        <v>0</v>
      </c>
      <c r="D382" t="s">
        <v>144</v>
      </c>
      <c r="E382" t="s">
        <v>145</v>
      </c>
      <c r="F382" s="16">
        <v>500</v>
      </c>
      <c r="G382" s="15">
        <v>0</v>
      </c>
      <c r="H382" s="15">
        <v>0</v>
      </c>
      <c r="I382" s="24">
        <v>0</v>
      </c>
      <c r="J382">
        <v>0</v>
      </c>
      <c r="K382">
        <v>0</v>
      </c>
      <c r="L382">
        <v>0</v>
      </c>
      <c r="M382">
        <v>0</v>
      </c>
      <c r="N382" s="16">
        <v>0</v>
      </c>
      <c r="O382">
        <v>0</v>
      </c>
      <c r="P382">
        <v>0</v>
      </c>
      <c r="Q382">
        <v>0</v>
      </c>
      <c r="R382">
        <v>0</v>
      </c>
      <c r="S382" s="21">
        <v>0</v>
      </c>
      <c r="T382">
        <v>0</v>
      </c>
      <c r="U382" s="37" t="s">
        <v>259</v>
      </c>
      <c r="V382" t="s">
        <v>147</v>
      </c>
      <c r="W382" s="37" t="s">
        <v>258</v>
      </c>
      <c r="X382" t="s">
        <v>149</v>
      </c>
      <c r="Y382">
        <v>0</v>
      </c>
    </row>
    <row r="383" spans="1:25" x14ac:dyDescent="0.25">
      <c r="A383" t="s">
        <v>181</v>
      </c>
      <c r="B383">
        <v>2403</v>
      </c>
      <c r="C383">
        <v>1</v>
      </c>
      <c r="D383" t="s">
        <v>144</v>
      </c>
      <c r="E383" t="s">
        <v>184</v>
      </c>
      <c r="F383" s="16">
        <f t="shared" ref="F383:F392" si="178">VLOOKUP($C$376,$C$4:$M$9,4,FALSE)*(LOOKUP($C$375,$B$13:$B$28,$C$13:$C$28)+LOOKUP($C383,$B$13:$B$28,$D$13:$D$28))</f>
        <v>4200</v>
      </c>
      <c r="G383" s="17">
        <f t="shared" ref="G383:G392" si="179">VLOOKUP($C$376,$C$4:$M$9,5,FALSE)*(LOOKUP($C$375,$B$13:$B$28,$C$13:$C$28)+LOOKUP($C383,$B$13:$B$28,$D$13:$D$28))</f>
        <v>56</v>
      </c>
      <c r="H383" s="15">
        <f>VLOOKUP($C$376,$C$4:$M$9,6,FALSE)</f>
        <v>1</v>
      </c>
      <c r="I383" s="24">
        <f t="shared" ref="I383:I392" si="180">VLOOKUP($C$376,$C$4:$M$9,7,FALSE)*(LOOKUP($C$375,$B$13:$B$28,$C$13:$C$28)+LOOKUP($C383,$B$13:$B$28,$D$13:$D$28))</f>
        <v>28</v>
      </c>
      <c r="J383">
        <v>3</v>
      </c>
      <c r="K383">
        <f t="shared" ref="K383:K392" si="181">VLOOKUP($C$376,$C$4:$M$9,9,FALSE)</f>
        <v>2</v>
      </c>
      <c r="L383">
        <v>3</v>
      </c>
      <c r="M383">
        <v>0</v>
      </c>
      <c r="N383" s="35">
        <f>ROUND(GetValue($C383,$C$374,$K$375,$L$375,$M$375),-1)</f>
        <v>0</v>
      </c>
      <c r="O383" s="18">
        <f>ROUND(GetValue($C383,$C$374,$K$376,$L$376,$M$376),-1)</f>
        <v>200</v>
      </c>
      <c r="P383" s="18">
        <f>ROUND(GetValue($C383,$C$374,$K$377,$L$377,$M$377),-1)</f>
        <v>320</v>
      </c>
      <c r="Q383" s="18">
        <f>ROUND(GetValue($C383,$C$374,$K$378,$L$378,$M$378),-1)</f>
        <v>0</v>
      </c>
      <c r="R383" s="18">
        <f>ROUND(GetValue($C383,$C$374,$K$379,$L$379,$M$379),-1)</f>
        <v>0</v>
      </c>
      <c r="S383" s="36">
        <f>ROUND(GetValue($C383,$C$374,$K$380,$L$380,$M$380),-1)</f>
        <v>7200</v>
      </c>
      <c r="T383" s="37">
        <v>0</v>
      </c>
      <c r="U383" s="37" t="s">
        <v>259</v>
      </c>
      <c r="V383" t="s">
        <v>183</v>
      </c>
      <c r="W383" s="37" t="s">
        <v>258</v>
      </c>
      <c r="X383" t="s">
        <v>149</v>
      </c>
      <c r="Y383">
        <v>0</v>
      </c>
    </row>
    <row r="384" spans="1:25" x14ac:dyDescent="0.25">
      <c r="A384" t="s">
        <v>181</v>
      </c>
      <c r="B384">
        <v>2403</v>
      </c>
      <c r="C384">
        <v>2</v>
      </c>
      <c r="D384" t="s">
        <v>144</v>
      </c>
      <c r="E384" t="s">
        <v>184</v>
      </c>
      <c r="F384" s="16">
        <f t="shared" si="178"/>
        <v>4650</v>
      </c>
      <c r="G384" s="17">
        <f t="shared" si="179"/>
        <v>62</v>
      </c>
      <c r="H384" s="15">
        <f>H383</f>
        <v>1</v>
      </c>
      <c r="I384" s="24">
        <f t="shared" si="180"/>
        <v>31</v>
      </c>
      <c r="J384">
        <v>3</v>
      </c>
      <c r="K384" s="37">
        <f t="shared" si="181"/>
        <v>2</v>
      </c>
      <c r="L384" s="37">
        <v>3</v>
      </c>
      <c r="M384">
        <v>0</v>
      </c>
      <c r="N384" s="35">
        <f t="shared" ref="N384:N392" si="182">ROUND(GetValue($C384,$C$374,$K$375,$L$375,$M$375),-1)</f>
        <v>0</v>
      </c>
      <c r="O384" s="18">
        <f t="shared" ref="O384:O392" si="183">ROUND(GetValue($C384,$C$374,$K$376,$L$376,$M$376),-1)</f>
        <v>310</v>
      </c>
      <c r="P384" s="18">
        <f t="shared" ref="P384:P392" si="184">ROUND(GetValue($C384,$C$374,$K$377,$L$377,$M$377),-1)</f>
        <v>480</v>
      </c>
      <c r="Q384" s="18">
        <f t="shared" ref="Q384:Q392" si="185">ROUND(GetValue($C384,$C$374,$K$378,$L$378,$M$378),-1)</f>
        <v>0</v>
      </c>
      <c r="R384" s="18">
        <f t="shared" ref="R384:R392" si="186">ROUND(GetValue($C384,$C$374,$K$379,$L$379,$M$379),-1)</f>
        <v>0</v>
      </c>
      <c r="S384" s="36">
        <f t="shared" ref="S384:S392" si="187">ROUND(GetValue($C384,$C$374,$K$380,$L$380,$M$380),-1)</f>
        <v>8550</v>
      </c>
      <c r="T384" s="37">
        <v>0</v>
      </c>
      <c r="U384" s="37" t="s">
        <v>259</v>
      </c>
      <c r="V384" t="s">
        <v>183</v>
      </c>
      <c r="W384" s="37" t="s">
        <v>258</v>
      </c>
      <c r="X384" t="s">
        <v>149</v>
      </c>
      <c r="Y384">
        <v>0</v>
      </c>
    </row>
    <row r="385" spans="1:25" x14ac:dyDescent="0.25">
      <c r="A385" t="s">
        <v>181</v>
      </c>
      <c r="B385">
        <v>2403</v>
      </c>
      <c r="C385">
        <v>3</v>
      </c>
      <c r="D385" t="s">
        <v>144</v>
      </c>
      <c r="E385" t="s">
        <v>184</v>
      </c>
      <c r="F385" s="16">
        <f t="shared" si="178"/>
        <v>5400</v>
      </c>
      <c r="G385" s="17">
        <f t="shared" si="179"/>
        <v>72</v>
      </c>
      <c r="H385" s="15">
        <f t="shared" ref="H385:H392" si="188">H384</f>
        <v>1</v>
      </c>
      <c r="I385" s="24">
        <f t="shared" si="180"/>
        <v>36</v>
      </c>
      <c r="J385">
        <v>3</v>
      </c>
      <c r="K385" s="37">
        <f t="shared" si="181"/>
        <v>2</v>
      </c>
      <c r="L385" s="37">
        <v>3</v>
      </c>
      <c r="M385">
        <v>0</v>
      </c>
      <c r="N385" s="35">
        <f t="shared" si="182"/>
        <v>0</v>
      </c>
      <c r="O385" s="18">
        <f t="shared" si="183"/>
        <v>450</v>
      </c>
      <c r="P385" s="18">
        <f t="shared" si="184"/>
        <v>680</v>
      </c>
      <c r="Q385" s="18">
        <f t="shared" si="185"/>
        <v>0</v>
      </c>
      <c r="R385" s="18">
        <f t="shared" si="186"/>
        <v>0</v>
      </c>
      <c r="S385" s="36">
        <f t="shared" si="187"/>
        <v>10120</v>
      </c>
      <c r="T385" s="37">
        <v>0</v>
      </c>
      <c r="U385" s="37" t="s">
        <v>259</v>
      </c>
      <c r="V385" t="s">
        <v>183</v>
      </c>
      <c r="W385" s="37" t="s">
        <v>258</v>
      </c>
      <c r="X385" t="s">
        <v>149</v>
      </c>
      <c r="Y385">
        <v>0</v>
      </c>
    </row>
    <row r="386" spans="1:25" x14ac:dyDescent="0.25">
      <c r="A386" t="s">
        <v>181</v>
      </c>
      <c r="B386">
        <v>2403</v>
      </c>
      <c r="C386">
        <v>4</v>
      </c>
      <c r="D386" t="s">
        <v>144</v>
      </c>
      <c r="E386" t="s">
        <v>184</v>
      </c>
      <c r="F386" s="16">
        <f t="shared" si="178"/>
        <v>6300</v>
      </c>
      <c r="G386" s="17">
        <f t="shared" si="179"/>
        <v>84</v>
      </c>
      <c r="H386" s="15">
        <f t="shared" si="188"/>
        <v>1</v>
      </c>
      <c r="I386" s="24">
        <f t="shared" si="180"/>
        <v>42</v>
      </c>
      <c r="J386">
        <v>4</v>
      </c>
      <c r="K386" s="37">
        <f t="shared" si="181"/>
        <v>2</v>
      </c>
      <c r="L386" s="37">
        <v>3</v>
      </c>
      <c r="M386">
        <v>0</v>
      </c>
      <c r="N386" s="35">
        <f t="shared" si="182"/>
        <v>30</v>
      </c>
      <c r="O386" s="18">
        <f t="shared" si="183"/>
        <v>620</v>
      </c>
      <c r="P386" s="18">
        <f t="shared" si="184"/>
        <v>950</v>
      </c>
      <c r="Q386" s="18">
        <f t="shared" si="185"/>
        <v>0</v>
      </c>
      <c r="R386" s="18">
        <f t="shared" si="186"/>
        <v>0</v>
      </c>
      <c r="S386" s="36">
        <f t="shared" si="187"/>
        <v>11940</v>
      </c>
      <c r="T386" s="37">
        <v>0</v>
      </c>
      <c r="U386" s="37" t="s">
        <v>259</v>
      </c>
      <c r="V386" t="s">
        <v>183</v>
      </c>
      <c r="W386" s="37" t="s">
        <v>258</v>
      </c>
      <c r="X386" t="s">
        <v>149</v>
      </c>
      <c r="Y386">
        <v>0</v>
      </c>
    </row>
    <row r="387" spans="1:25" x14ac:dyDescent="0.25">
      <c r="A387" t="s">
        <v>181</v>
      </c>
      <c r="B387">
        <v>2403</v>
      </c>
      <c r="C387">
        <v>5</v>
      </c>
      <c r="D387" t="s">
        <v>144</v>
      </c>
      <c r="E387" t="s">
        <v>184</v>
      </c>
      <c r="F387" s="16">
        <f t="shared" si="178"/>
        <v>7050</v>
      </c>
      <c r="G387" s="17">
        <f t="shared" si="179"/>
        <v>94</v>
      </c>
      <c r="H387" s="15">
        <f t="shared" si="188"/>
        <v>1</v>
      </c>
      <c r="I387" s="24">
        <f t="shared" si="180"/>
        <v>47</v>
      </c>
      <c r="J387">
        <v>4</v>
      </c>
      <c r="K387" s="37">
        <f t="shared" si="181"/>
        <v>2</v>
      </c>
      <c r="L387" s="37">
        <v>3</v>
      </c>
      <c r="M387">
        <v>0</v>
      </c>
      <c r="N387" s="35">
        <f t="shared" si="182"/>
        <v>60</v>
      </c>
      <c r="O387" s="18">
        <f t="shared" si="183"/>
        <v>840</v>
      </c>
      <c r="P387" s="18">
        <f t="shared" si="184"/>
        <v>1280</v>
      </c>
      <c r="Q387" s="18">
        <f t="shared" si="185"/>
        <v>0</v>
      </c>
      <c r="R387" s="18">
        <f t="shared" si="186"/>
        <v>0</v>
      </c>
      <c r="S387" s="36">
        <f t="shared" si="187"/>
        <v>14060</v>
      </c>
      <c r="T387" s="37">
        <v>0</v>
      </c>
      <c r="U387" s="37" t="s">
        <v>259</v>
      </c>
      <c r="V387" t="s">
        <v>183</v>
      </c>
      <c r="W387" s="37" t="s">
        <v>258</v>
      </c>
      <c r="X387" t="s">
        <v>149</v>
      </c>
      <c r="Y387">
        <v>0</v>
      </c>
    </row>
    <row r="388" spans="1:25" x14ac:dyDescent="0.25">
      <c r="A388" t="s">
        <v>181</v>
      </c>
      <c r="B388">
        <v>2403</v>
      </c>
      <c r="C388">
        <v>6</v>
      </c>
      <c r="D388" t="s">
        <v>144</v>
      </c>
      <c r="E388" t="s">
        <v>184</v>
      </c>
      <c r="F388" s="16">
        <f t="shared" si="178"/>
        <v>7950</v>
      </c>
      <c r="G388" s="17">
        <f t="shared" si="179"/>
        <v>106</v>
      </c>
      <c r="H388" s="15">
        <f t="shared" si="188"/>
        <v>1</v>
      </c>
      <c r="I388" s="24">
        <f t="shared" si="180"/>
        <v>53</v>
      </c>
      <c r="J388">
        <v>4</v>
      </c>
      <c r="K388" s="37">
        <f t="shared" si="181"/>
        <v>2</v>
      </c>
      <c r="L388" s="37">
        <v>3</v>
      </c>
      <c r="M388">
        <v>0</v>
      </c>
      <c r="N388" s="35">
        <f t="shared" si="182"/>
        <v>100</v>
      </c>
      <c r="O388" s="18">
        <f t="shared" si="183"/>
        <v>1100</v>
      </c>
      <c r="P388" s="18">
        <f t="shared" si="184"/>
        <v>1720</v>
      </c>
      <c r="Q388" s="18">
        <f t="shared" si="185"/>
        <v>0</v>
      </c>
      <c r="R388" s="18">
        <f t="shared" si="186"/>
        <v>0</v>
      </c>
      <c r="S388" s="36">
        <f t="shared" si="187"/>
        <v>16520</v>
      </c>
      <c r="T388" s="37">
        <v>0</v>
      </c>
      <c r="U388" s="37" t="s">
        <v>259</v>
      </c>
      <c r="V388" t="s">
        <v>183</v>
      </c>
      <c r="W388" s="37" t="s">
        <v>258</v>
      </c>
      <c r="X388" t="s">
        <v>149</v>
      </c>
      <c r="Y388">
        <v>0</v>
      </c>
    </row>
    <row r="389" spans="1:25" x14ac:dyDescent="0.25">
      <c r="A389" t="s">
        <v>181</v>
      </c>
      <c r="B389">
        <v>2403</v>
      </c>
      <c r="C389">
        <v>7</v>
      </c>
      <c r="D389" t="s">
        <v>144</v>
      </c>
      <c r="E389" t="s">
        <v>184</v>
      </c>
      <c r="F389" s="16">
        <f t="shared" si="178"/>
        <v>9000</v>
      </c>
      <c r="G389" s="17">
        <f t="shared" si="179"/>
        <v>120</v>
      </c>
      <c r="H389" s="15">
        <f t="shared" si="188"/>
        <v>1</v>
      </c>
      <c r="I389" s="24">
        <f t="shared" si="180"/>
        <v>60</v>
      </c>
      <c r="J389">
        <v>5</v>
      </c>
      <c r="K389" s="37">
        <f t="shared" si="181"/>
        <v>2</v>
      </c>
      <c r="L389" s="37">
        <v>3</v>
      </c>
      <c r="M389">
        <v>0</v>
      </c>
      <c r="N389" s="35">
        <f t="shared" si="182"/>
        <v>150</v>
      </c>
      <c r="O389" s="18">
        <f t="shared" si="183"/>
        <v>1420</v>
      </c>
      <c r="P389" s="18">
        <f t="shared" si="184"/>
        <v>2270</v>
      </c>
      <c r="Q389" s="18">
        <f t="shared" si="185"/>
        <v>0</v>
      </c>
      <c r="R389" s="18">
        <f t="shared" si="186"/>
        <v>0</v>
      </c>
      <c r="S389" s="36">
        <f t="shared" si="187"/>
        <v>19380</v>
      </c>
      <c r="T389" s="37">
        <v>0</v>
      </c>
      <c r="U389" s="37" t="s">
        <v>259</v>
      </c>
      <c r="V389" t="s">
        <v>183</v>
      </c>
      <c r="W389" s="37" t="s">
        <v>258</v>
      </c>
      <c r="X389" t="s">
        <v>149</v>
      </c>
      <c r="Y389">
        <v>0</v>
      </c>
    </row>
    <row r="390" spans="1:25" x14ac:dyDescent="0.25">
      <c r="A390" t="s">
        <v>181</v>
      </c>
      <c r="B390">
        <v>2403</v>
      </c>
      <c r="C390">
        <v>8</v>
      </c>
      <c r="D390" t="s">
        <v>144</v>
      </c>
      <c r="E390" t="s">
        <v>184</v>
      </c>
      <c r="F390" s="16">
        <f t="shared" si="178"/>
        <v>10050</v>
      </c>
      <c r="G390" s="17">
        <f t="shared" si="179"/>
        <v>134</v>
      </c>
      <c r="H390" s="15">
        <f t="shared" si="188"/>
        <v>1</v>
      </c>
      <c r="I390" s="24">
        <f t="shared" si="180"/>
        <v>67</v>
      </c>
      <c r="J390">
        <v>5</v>
      </c>
      <c r="K390" s="37">
        <f t="shared" si="181"/>
        <v>2</v>
      </c>
      <c r="L390" s="37">
        <v>3</v>
      </c>
      <c r="M390">
        <v>0</v>
      </c>
      <c r="N390" s="35">
        <f t="shared" si="182"/>
        <v>210</v>
      </c>
      <c r="O390" s="18">
        <f t="shared" si="183"/>
        <v>1820</v>
      </c>
      <c r="P390" s="18">
        <f t="shared" si="184"/>
        <v>2990</v>
      </c>
      <c r="Q390" s="18">
        <f t="shared" si="185"/>
        <v>60</v>
      </c>
      <c r="R390" s="18">
        <f t="shared" si="186"/>
        <v>0</v>
      </c>
      <c r="S390" s="36">
        <f t="shared" si="187"/>
        <v>22710</v>
      </c>
      <c r="T390" s="37">
        <v>0</v>
      </c>
      <c r="U390" s="37" t="s">
        <v>259</v>
      </c>
      <c r="V390" t="s">
        <v>183</v>
      </c>
      <c r="W390" s="37" t="s">
        <v>258</v>
      </c>
      <c r="X390" t="s">
        <v>149</v>
      </c>
      <c r="Y390">
        <v>0</v>
      </c>
    </row>
    <row r="391" spans="1:25" x14ac:dyDescent="0.25">
      <c r="A391" t="s">
        <v>181</v>
      </c>
      <c r="B391">
        <v>2403</v>
      </c>
      <c r="C391">
        <v>9</v>
      </c>
      <c r="D391" t="s">
        <v>144</v>
      </c>
      <c r="E391" t="s">
        <v>184</v>
      </c>
      <c r="F391" s="16">
        <f t="shared" si="178"/>
        <v>11250</v>
      </c>
      <c r="G391" s="17">
        <f t="shared" si="179"/>
        <v>150</v>
      </c>
      <c r="H391" s="15">
        <f t="shared" si="188"/>
        <v>1</v>
      </c>
      <c r="I391" s="24">
        <f t="shared" si="180"/>
        <v>75</v>
      </c>
      <c r="J391">
        <v>5</v>
      </c>
      <c r="K391" s="37">
        <f t="shared" si="181"/>
        <v>2</v>
      </c>
      <c r="L391" s="37">
        <v>3</v>
      </c>
      <c r="M391">
        <v>0</v>
      </c>
      <c r="N391" s="35">
        <f t="shared" si="182"/>
        <v>290</v>
      </c>
      <c r="O391" s="18">
        <f t="shared" si="183"/>
        <v>2310</v>
      </c>
      <c r="P391" s="18">
        <f t="shared" si="184"/>
        <v>3900</v>
      </c>
      <c r="Q391" s="18">
        <f t="shared" si="185"/>
        <v>130</v>
      </c>
      <c r="R391" s="18">
        <f t="shared" si="186"/>
        <v>0</v>
      </c>
      <c r="S391" s="36">
        <f t="shared" si="187"/>
        <v>26570</v>
      </c>
      <c r="T391" s="37">
        <v>0</v>
      </c>
      <c r="U391" s="37" t="s">
        <v>259</v>
      </c>
      <c r="V391" t="s">
        <v>183</v>
      </c>
      <c r="W391" s="37" t="s">
        <v>258</v>
      </c>
      <c r="X391" t="s">
        <v>149</v>
      </c>
      <c r="Y391">
        <v>0</v>
      </c>
    </row>
    <row r="392" spans="1:25" x14ac:dyDescent="0.25">
      <c r="A392" t="s">
        <v>181</v>
      </c>
      <c r="B392">
        <v>2403</v>
      </c>
      <c r="C392">
        <v>10</v>
      </c>
      <c r="D392" t="s">
        <v>144</v>
      </c>
      <c r="E392" t="s">
        <v>184</v>
      </c>
      <c r="F392" s="16">
        <f t="shared" si="178"/>
        <v>12600</v>
      </c>
      <c r="G392" s="17">
        <f t="shared" si="179"/>
        <v>168</v>
      </c>
      <c r="H392" s="15">
        <f t="shared" si="188"/>
        <v>1</v>
      </c>
      <c r="I392" s="24">
        <f t="shared" si="180"/>
        <v>84</v>
      </c>
      <c r="J392">
        <v>6</v>
      </c>
      <c r="K392" s="37">
        <f t="shared" si="181"/>
        <v>2</v>
      </c>
      <c r="L392" s="37">
        <v>3</v>
      </c>
      <c r="M392">
        <v>0</v>
      </c>
      <c r="N392" s="35">
        <f t="shared" si="182"/>
        <v>380</v>
      </c>
      <c r="O392" s="18">
        <f t="shared" si="183"/>
        <v>2920</v>
      </c>
      <c r="P392" s="18">
        <f t="shared" si="184"/>
        <v>5080</v>
      </c>
      <c r="Q392" s="18">
        <f t="shared" si="185"/>
        <v>230</v>
      </c>
      <c r="R392" s="18">
        <f t="shared" si="186"/>
        <v>0</v>
      </c>
      <c r="S392" s="36">
        <f t="shared" si="187"/>
        <v>31050</v>
      </c>
      <c r="T392" s="37">
        <v>0</v>
      </c>
      <c r="U392" s="37" t="s">
        <v>259</v>
      </c>
      <c r="V392" t="s">
        <v>183</v>
      </c>
      <c r="W392" s="37" t="s">
        <v>258</v>
      </c>
      <c r="X392" t="s">
        <v>149</v>
      </c>
      <c r="Y392">
        <v>0</v>
      </c>
    </row>
    <row r="393" spans="1:25" x14ac:dyDescent="0.25">
      <c r="G393" s="15"/>
      <c r="H393" s="15"/>
    </row>
    <row r="394" spans="1:25" x14ac:dyDescent="0.25">
      <c r="A394" t="s">
        <v>203</v>
      </c>
      <c r="B394" s="15" t="s">
        <v>201</v>
      </c>
      <c r="C394">
        <v>15</v>
      </c>
      <c r="G394" s="15"/>
      <c r="H394" s="15"/>
      <c r="K394" s="7" t="s">
        <v>1</v>
      </c>
      <c r="L394" s="8" t="s">
        <v>2</v>
      </c>
      <c r="M394" s="8" t="s">
        <v>194</v>
      </c>
      <c r="N394" s="33" t="s">
        <v>204</v>
      </c>
      <c r="O394" s="12" t="s">
        <v>205</v>
      </c>
    </row>
    <row r="395" spans="1:25" x14ac:dyDescent="0.25">
      <c r="A395" t="s">
        <v>203</v>
      </c>
      <c r="B395" t="s">
        <v>202</v>
      </c>
      <c r="C395">
        <v>4</v>
      </c>
      <c r="G395" s="15"/>
      <c r="H395" s="15" t="s">
        <v>132</v>
      </c>
      <c r="K395">
        <v>0.1</v>
      </c>
      <c r="L395">
        <v>-4</v>
      </c>
      <c r="M395">
        <v>4500</v>
      </c>
    </row>
    <row r="396" spans="1:25" x14ac:dyDescent="0.25">
      <c r="A396" t="s">
        <v>203</v>
      </c>
      <c r="B396" t="s">
        <v>128</v>
      </c>
      <c r="C396" t="s">
        <v>118</v>
      </c>
      <c r="G396" s="15"/>
      <c r="H396" s="15" t="s">
        <v>133</v>
      </c>
      <c r="K396">
        <v>0.2</v>
      </c>
      <c r="L396">
        <v>380</v>
      </c>
      <c r="M396">
        <v>13000</v>
      </c>
    </row>
    <row r="397" spans="1:25" x14ac:dyDescent="0.25">
      <c r="A397" t="s">
        <v>203</v>
      </c>
      <c r="G397" s="15"/>
      <c r="H397" s="15" t="s">
        <v>198</v>
      </c>
      <c r="K397">
        <v>0.2</v>
      </c>
      <c r="L397">
        <v>450</v>
      </c>
      <c r="M397">
        <v>7000</v>
      </c>
    </row>
    <row r="398" spans="1:25" x14ac:dyDescent="0.25">
      <c r="A398" t="s">
        <v>203</v>
      </c>
      <c r="G398" s="15"/>
      <c r="H398" s="15" t="s">
        <v>135</v>
      </c>
      <c r="K398">
        <v>0.1</v>
      </c>
      <c r="L398">
        <v>-8</v>
      </c>
      <c r="M398">
        <v>2500</v>
      </c>
    </row>
    <row r="399" spans="1:25" x14ac:dyDescent="0.25">
      <c r="A399" t="s">
        <v>203</v>
      </c>
      <c r="G399" s="15"/>
      <c r="H399" s="15" t="s">
        <v>136</v>
      </c>
      <c r="K399">
        <v>0</v>
      </c>
      <c r="L399">
        <v>0</v>
      </c>
      <c r="M399">
        <v>0</v>
      </c>
    </row>
    <row r="400" spans="1:25" x14ac:dyDescent="0.25">
      <c r="A400" t="s">
        <v>203</v>
      </c>
      <c r="G400" s="15"/>
      <c r="H400" s="15" t="s">
        <v>69</v>
      </c>
      <c r="K400">
        <v>0.1</v>
      </c>
      <c r="L400" s="15">
        <v>12150</v>
      </c>
      <c r="M400" s="21">
        <v>140000</v>
      </c>
      <c r="N400" s="34" t="str">
        <f>TEXT(L400/86400,CHOOSE(MATCH(L400,{0,60,3600},1),":ss","m:ss","[h]:mm:ss"))</f>
        <v>3:22:30</v>
      </c>
      <c r="O400" s="11" t="str">
        <f>TEXT(M400/86400,CHOOSE(MATCH(M400,{0,60,3600},1),":ss","m:ss","[h]:mm:ss"))</f>
        <v>38:53:20</v>
      </c>
    </row>
    <row r="401" spans="1:25" x14ac:dyDescent="0.25">
      <c r="G401" s="15"/>
      <c r="H401" s="15"/>
      <c r="L401" s="3"/>
      <c r="M401" s="3"/>
    </row>
    <row r="402" spans="1:25" x14ac:dyDescent="0.25">
      <c r="A402" t="s">
        <v>185</v>
      </c>
      <c r="B402">
        <v>2501</v>
      </c>
      <c r="C402">
        <v>0</v>
      </c>
      <c r="D402" t="s">
        <v>144</v>
      </c>
      <c r="E402" t="s">
        <v>145</v>
      </c>
      <c r="F402" s="16">
        <v>500</v>
      </c>
      <c r="G402" s="15">
        <v>0</v>
      </c>
      <c r="H402" s="15">
        <v>0</v>
      </c>
      <c r="I402" s="24">
        <v>0</v>
      </c>
      <c r="J402">
        <v>0</v>
      </c>
      <c r="K402">
        <v>0</v>
      </c>
      <c r="L402">
        <v>0</v>
      </c>
      <c r="M402">
        <v>0</v>
      </c>
      <c r="N402" s="16">
        <v>0</v>
      </c>
      <c r="O402">
        <v>0</v>
      </c>
      <c r="P402">
        <v>0</v>
      </c>
      <c r="Q402">
        <v>0</v>
      </c>
      <c r="R402">
        <v>0</v>
      </c>
      <c r="S402" s="21">
        <v>0</v>
      </c>
      <c r="T402">
        <v>0</v>
      </c>
      <c r="U402" t="s">
        <v>146</v>
      </c>
      <c r="V402" t="s">
        <v>147</v>
      </c>
      <c r="W402" s="37" t="s">
        <v>257</v>
      </c>
      <c r="X402" t="s">
        <v>149</v>
      </c>
      <c r="Y402">
        <v>0</v>
      </c>
    </row>
    <row r="403" spans="1:25" x14ac:dyDescent="0.25">
      <c r="A403" t="s">
        <v>185</v>
      </c>
      <c r="B403">
        <v>2501</v>
      </c>
      <c r="C403">
        <v>1</v>
      </c>
      <c r="D403" t="s">
        <v>144</v>
      </c>
      <c r="E403" t="s">
        <v>186</v>
      </c>
      <c r="F403" s="16">
        <f t="shared" ref="F403:F417" si="189">VLOOKUP($C$396,$C$4:$M$9,4,FALSE)*(LOOKUP($C$395,$B$13:$B$28,$C$13:$C$28)+LOOKUP($C403,$B$13:$B$28,$D$13:$D$28))</f>
        <v>1870</v>
      </c>
      <c r="G403" s="17">
        <f t="shared" ref="G403:G417" si="190">VLOOKUP($C$396,$C$4:$M$9,5,FALSE)*(LOOKUP($C$395,$B$13:$B$28,$C$13:$C$28)+LOOKUP($C403,$B$13:$B$28,$D$13:$D$28))</f>
        <v>20.399999999999999</v>
      </c>
      <c r="H403" s="15">
        <f>VLOOKUP($C$396,$C$4:$M$9,6,FALSE)</f>
        <v>1</v>
      </c>
      <c r="I403" s="24">
        <f t="shared" ref="I403:I417" si="191">VLOOKUP($C$396,$C$4:$M$9,7,FALSE)*(LOOKUP($C$395,$B$13:$B$28,$C$13:$C$28)+LOOKUP($C403,$B$13:$B$28,$D$13:$D$28))</f>
        <v>13.600000000000001</v>
      </c>
      <c r="J403">
        <v>0</v>
      </c>
      <c r="K403">
        <f t="shared" ref="K403:K417" si="192">VLOOKUP($C$396,$C$4:$M$9,9,FALSE)</f>
        <v>4</v>
      </c>
      <c r="L403">
        <f t="shared" ref="L403:L417" si="193">VLOOKUP($C$396,$C$4:$M$9,10,FALSE)</f>
        <v>1</v>
      </c>
      <c r="M403">
        <v>0</v>
      </c>
      <c r="N403" s="35">
        <f>ROUND(GetValue($C403,$C$394,$K$395,$L$395,$M$395),-1)</f>
        <v>0</v>
      </c>
      <c r="O403" s="18">
        <f>ROUND(GetValue($C403,$C$394,$K$396,$L$396,$M$396),-1)</f>
        <v>380</v>
      </c>
      <c r="P403" s="18">
        <f>ROUND(GetValue($C403,$C$394,$K$397,$L$397,$M$397),-1)</f>
        <v>450</v>
      </c>
      <c r="Q403" s="18">
        <f>ROUND(GetValue($C403,$C$394,$K$398,$L$398,$M$398),-1)</f>
        <v>0</v>
      </c>
      <c r="R403" s="18">
        <f>ROUND(GetValue($C403,$C$394,$K$399,$L$399,$M$399),-1)</f>
        <v>0</v>
      </c>
      <c r="S403" s="36">
        <f>ROUND(GetValue($C403,$C$394,$K$400,$L$400,$M$400),-1)</f>
        <v>12150</v>
      </c>
      <c r="T403" s="37">
        <v>0</v>
      </c>
      <c r="U403" t="s">
        <v>146</v>
      </c>
      <c r="V403" t="s">
        <v>147</v>
      </c>
      <c r="W403" s="37" t="s">
        <v>257</v>
      </c>
      <c r="X403" t="s">
        <v>149</v>
      </c>
      <c r="Y403">
        <v>0</v>
      </c>
    </row>
    <row r="404" spans="1:25" x14ac:dyDescent="0.25">
      <c r="A404" t="s">
        <v>185</v>
      </c>
      <c r="B404">
        <v>2501</v>
      </c>
      <c r="C404">
        <v>2</v>
      </c>
      <c r="D404" t="s">
        <v>144</v>
      </c>
      <c r="E404" t="s">
        <v>186</v>
      </c>
      <c r="F404" s="16">
        <f t="shared" si="189"/>
        <v>2035</v>
      </c>
      <c r="G404" s="17">
        <f t="shared" si="190"/>
        <v>22.2</v>
      </c>
      <c r="H404" s="15">
        <f>H403</f>
        <v>1</v>
      </c>
      <c r="I404" s="24">
        <f t="shared" si="191"/>
        <v>14.8</v>
      </c>
      <c r="J404">
        <v>0</v>
      </c>
      <c r="K404" s="37">
        <f t="shared" si="192"/>
        <v>4</v>
      </c>
      <c r="L404" s="37">
        <f t="shared" si="193"/>
        <v>1</v>
      </c>
      <c r="M404">
        <v>0</v>
      </c>
      <c r="N404" s="35">
        <f t="shared" ref="N404:N417" si="194">ROUND(GetValue($C404,$C$394,$K$395,$L$395,$M$395),-1)</f>
        <v>0</v>
      </c>
      <c r="O404" s="18">
        <f t="shared" ref="O404:O417" si="195">ROUND(GetValue($C404,$C$394,$K$396,$L$396,$M$396),-1)</f>
        <v>560</v>
      </c>
      <c r="P404" s="18">
        <f t="shared" ref="P404:P417" si="196">ROUND(GetValue($C404,$C$394,$K$397,$L$397,$M$397),-1)</f>
        <v>550</v>
      </c>
      <c r="Q404" s="18">
        <f t="shared" ref="Q404:Q417" si="197">ROUND(GetValue($C404,$C$394,$K$398,$L$398,$M$398),-1)</f>
        <v>0</v>
      </c>
      <c r="R404" s="18">
        <f t="shared" ref="R404:R417" si="198">ROUND(GetValue($C404,$C$394,$K$399,$L$399,$M$399),-1)</f>
        <v>0</v>
      </c>
      <c r="S404" s="36">
        <f t="shared" ref="S404:S417" si="199">ROUND(GetValue($C404,$C$394,$K$400,$L$400,$M$400),-1)</f>
        <v>16100</v>
      </c>
      <c r="T404" s="37">
        <v>0</v>
      </c>
      <c r="U404" t="s">
        <v>146</v>
      </c>
      <c r="V404" t="s">
        <v>147</v>
      </c>
      <c r="W404" s="37" t="s">
        <v>257</v>
      </c>
      <c r="X404" t="s">
        <v>149</v>
      </c>
      <c r="Y404">
        <v>0</v>
      </c>
    </row>
    <row r="405" spans="1:25" x14ac:dyDescent="0.25">
      <c r="A405" t="s">
        <v>185</v>
      </c>
      <c r="B405">
        <v>2501</v>
      </c>
      <c r="C405">
        <v>3</v>
      </c>
      <c r="D405" t="s">
        <v>144</v>
      </c>
      <c r="E405" t="s">
        <v>186</v>
      </c>
      <c r="F405" s="16">
        <f t="shared" si="189"/>
        <v>2310</v>
      </c>
      <c r="G405" s="17">
        <f t="shared" si="190"/>
        <v>25.2</v>
      </c>
      <c r="H405" s="15">
        <f t="shared" ref="H405:H417" si="200">H404</f>
        <v>1</v>
      </c>
      <c r="I405" s="24">
        <f t="shared" si="191"/>
        <v>16.8</v>
      </c>
      <c r="J405">
        <v>0</v>
      </c>
      <c r="K405" s="37">
        <f t="shared" si="192"/>
        <v>4</v>
      </c>
      <c r="L405" s="37">
        <f t="shared" si="193"/>
        <v>1</v>
      </c>
      <c r="M405">
        <v>0</v>
      </c>
      <c r="N405" s="35">
        <f t="shared" si="194"/>
        <v>0</v>
      </c>
      <c r="O405" s="18">
        <f t="shared" si="195"/>
        <v>780</v>
      </c>
      <c r="P405" s="18">
        <f t="shared" si="196"/>
        <v>670</v>
      </c>
      <c r="Q405" s="18">
        <f t="shared" si="197"/>
        <v>0</v>
      </c>
      <c r="R405" s="18">
        <f t="shared" si="198"/>
        <v>0</v>
      </c>
      <c r="S405" s="36">
        <f t="shared" si="199"/>
        <v>20460</v>
      </c>
      <c r="T405" s="37">
        <v>0</v>
      </c>
      <c r="U405" t="s">
        <v>146</v>
      </c>
      <c r="V405" t="s">
        <v>147</v>
      </c>
      <c r="W405" s="37" t="s">
        <v>257</v>
      </c>
      <c r="X405" t="s">
        <v>149</v>
      </c>
      <c r="Y405">
        <v>0</v>
      </c>
    </row>
    <row r="406" spans="1:25" x14ac:dyDescent="0.25">
      <c r="A406" t="s">
        <v>185</v>
      </c>
      <c r="B406">
        <v>2501</v>
      </c>
      <c r="C406">
        <v>4</v>
      </c>
      <c r="D406" t="s">
        <v>144</v>
      </c>
      <c r="E406" t="s">
        <v>186</v>
      </c>
      <c r="F406" s="16">
        <f t="shared" si="189"/>
        <v>2640</v>
      </c>
      <c r="G406" s="17">
        <f t="shared" si="190"/>
        <v>28.799999999999997</v>
      </c>
      <c r="H406" s="15">
        <f t="shared" si="200"/>
        <v>1</v>
      </c>
      <c r="I406" s="24">
        <f t="shared" si="191"/>
        <v>19.200000000000003</v>
      </c>
      <c r="J406">
        <v>0</v>
      </c>
      <c r="K406" s="37">
        <f t="shared" si="192"/>
        <v>4</v>
      </c>
      <c r="L406" s="37">
        <f t="shared" si="193"/>
        <v>1</v>
      </c>
      <c r="M406">
        <v>0</v>
      </c>
      <c r="N406" s="35">
        <f t="shared" si="194"/>
        <v>0</v>
      </c>
      <c r="O406" s="18">
        <f t="shared" si="195"/>
        <v>1050</v>
      </c>
      <c r="P406" s="18">
        <f t="shared" si="196"/>
        <v>820</v>
      </c>
      <c r="Q406" s="18">
        <f t="shared" si="197"/>
        <v>0</v>
      </c>
      <c r="R406" s="18">
        <f t="shared" si="198"/>
        <v>0</v>
      </c>
      <c r="S406" s="36">
        <f t="shared" si="199"/>
        <v>25280</v>
      </c>
      <c r="T406" s="37">
        <v>0</v>
      </c>
      <c r="U406" t="s">
        <v>146</v>
      </c>
      <c r="V406" t="s">
        <v>147</v>
      </c>
      <c r="W406" s="37" t="s">
        <v>257</v>
      </c>
      <c r="X406" t="s">
        <v>149</v>
      </c>
      <c r="Y406">
        <v>0</v>
      </c>
    </row>
    <row r="407" spans="1:25" x14ac:dyDescent="0.25">
      <c r="A407" t="s">
        <v>185</v>
      </c>
      <c r="B407">
        <v>2501</v>
      </c>
      <c r="C407">
        <v>5</v>
      </c>
      <c r="D407" t="s">
        <v>144</v>
      </c>
      <c r="E407" t="s">
        <v>186</v>
      </c>
      <c r="F407" s="16">
        <f t="shared" si="189"/>
        <v>2915</v>
      </c>
      <c r="G407" s="17">
        <f t="shared" si="190"/>
        <v>31.799999999999997</v>
      </c>
      <c r="H407" s="15">
        <f t="shared" si="200"/>
        <v>1</v>
      </c>
      <c r="I407" s="24">
        <f t="shared" si="191"/>
        <v>21.200000000000003</v>
      </c>
      <c r="J407">
        <v>0</v>
      </c>
      <c r="K407" s="37">
        <f t="shared" si="192"/>
        <v>4</v>
      </c>
      <c r="L407" s="37">
        <f t="shared" si="193"/>
        <v>1</v>
      </c>
      <c r="M407">
        <v>0</v>
      </c>
      <c r="N407" s="35">
        <f t="shared" si="194"/>
        <v>160</v>
      </c>
      <c r="O407" s="18">
        <f t="shared" si="195"/>
        <v>1380</v>
      </c>
      <c r="P407" s="18">
        <f t="shared" si="196"/>
        <v>1010</v>
      </c>
      <c r="Q407" s="18">
        <f t="shared" si="197"/>
        <v>0</v>
      </c>
      <c r="R407" s="18">
        <f t="shared" si="198"/>
        <v>0</v>
      </c>
      <c r="S407" s="36">
        <f t="shared" si="199"/>
        <v>30600</v>
      </c>
      <c r="T407" s="37">
        <v>0</v>
      </c>
      <c r="U407" t="s">
        <v>146</v>
      </c>
      <c r="V407" t="s">
        <v>147</v>
      </c>
      <c r="W407" s="37" t="s">
        <v>257</v>
      </c>
      <c r="X407" t="s">
        <v>149</v>
      </c>
      <c r="Y407">
        <v>0</v>
      </c>
    </row>
    <row r="408" spans="1:25" x14ac:dyDescent="0.25">
      <c r="A408" t="s">
        <v>185</v>
      </c>
      <c r="B408">
        <v>2501</v>
      </c>
      <c r="C408">
        <v>6</v>
      </c>
      <c r="D408" t="s">
        <v>144</v>
      </c>
      <c r="E408" t="s">
        <v>186</v>
      </c>
      <c r="F408" s="16">
        <f t="shared" si="189"/>
        <v>3245</v>
      </c>
      <c r="G408" s="17">
        <f t="shared" si="190"/>
        <v>35.4</v>
      </c>
      <c r="H408" s="15">
        <f t="shared" si="200"/>
        <v>1</v>
      </c>
      <c r="I408" s="24">
        <f t="shared" si="191"/>
        <v>23.6</v>
      </c>
      <c r="J408">
        <v>0</v>
      </c>
      <c r="K408" s="37">
        <f t="shared" si="192"/>
        <v>4</v>
      </c>
      <c r="L408" s="37">
        <f t="shared" si="193"/>
        <v>1</v>
      </c>
      <c r="M408">
        <v>0</v>
      </c>
      <c r="N408" s="35">
        <f t="shared" si="194"/>
        <v>330</v>
      </c>
      <c r="O408" s="18">
        <f t="shared" si="195"/>
        <v>1780</v>
      </c>
      <c r="P408" s="18">
        <f t="shared" si="196"/>
        <v>1230</v>
      </c>
      <c r="Q408" s="18">
        <f t="shared" si="197"/>
        <v>0</v>
      </c>
      <c r="R408" s="18">
        <f t="shared" si="198"/>
        <v>0</v>
      </c>
      <c r="S408" s="36">
        <f t="shared" si="199"/>
        <v>36490</v>
      </c>
      <c r="T408" s="37">
        <v>0</v>
      </c>
      <c r="U408" t="s">
        <v>146</v>
      </c>
      <c r="V408" t="s">
        <v>147</v>
      </c>
      <c r="W408" s="37" t="s">
        <v>257</v>
      </c>
      <c r="X408" t="s">
        <v>149</v>
      </c>
      <c r="Y408">
        <v>0</v>
      </c>
    </row>
    <row r="409" spans="1:25" x14ac:dyDescent="0.25">
      <c r="A409" t="s">
        <v>185</v>
      </c>
      <c r="B409">
        <v>2501</v>
      </c>
      <c r="C409">
        <v>7</v>
      </c>
      <c r="D409" t="s">
        <v>144</v>
      </c>
      <c r="E409" t="s">
        <v>186</v>
      </c>
      <c r="F409" s="16">
        <f t="shared" si="189"/>
        <v>3630</v>
      </c>
      <c r="G409" s="17">
        <f t="shared" si="190"/>
        <v>39.6</v>
      </c>
      <c r="H409" s="15">
        <f t="shared" si="200"/>
        <v>1</v>
      </c>
      <c r="I409" s="24">
        <f t="shared" si="191"/>
        <v>26.400000000000002</v>
      </c>
      <c r="J409">
        <v>0</v>
      </c>
      <c r="K409" s="37">
        <f t="shared" si="192"/>
        <v>4</v>
      </c>
      <c r="L409" s="37">
        <f t="shared" si="193"/>
        <v>1</v>
      </c>
      <c r="M409">
        <v>0</v>
      </c>
      <c r="N409" s="35">
        <f t="shared" si="194"/>
        <v>520</v>
      </c>
      <c r="O409" s="18">
        <f t="shared" si="195"/>
        <v>2270</v>
      </c>
      <c r="P409" s="18">
        <f t="shared" si="196"/>
        <v>1500</v>
      </c>
      <c r="Q409" s="18">
        <f t="shared" si="197"/>
        <v>0</v>
      </c>
      <c r="R409" s="18">
        <f t="shared" si="198"/>
        <v>0</v>
      </c>
      <c r="S409" s="36">
        <f t="shared" si="199"/>
        <v>43000</v>
      </c>
      <c r="T409" s="37">
        <v>0</v>
      </c>
      <c r="U409" t="s">
        <v>146</v>
      </c>
      <c r="V409" t="s">
        <v>147</v>
      </c>
      <c r="W409" s="37" t="s">
        <v>257</v>
      </c>
      <c r="X409" t="s">
        <v>149</v>
      </c>
      <c r="Y409">
        <v>0</v>
      </c>
    </row>
    <row r="410" spans="1:25" x14ac:dyDescent="0.25">
      <c r="A410" t="s">
        <v>185</v>
      </c>
      <c r="B410">
        <v>2501</v>
      </c>
      <c r="C410">
        <v>8</v>
      </c>
      <c r="D410" t="s">
        <v>144</v>
      </c>
      <c r="E410" t="s">
        <v>186</v>
      </c>
      <c r="F410" s="16">
        <f t="shared" si="189"/>
        <v>4015</v>
      </c>
      <c r="G410" s="17">
        <f t="shared" si="190"/>
        <v>43.8</v>
      </c>
      <c r="H410" s="15">
        <f t="shared" si="200"/>
        <v>1</v>
      </c>
      <c r="I410" s="24">
        <f t="shared" si="191"/>
        <v>29.200000000000003</v>
      </c>
      <c r="J410">
        <v>0</v>
      </c>
      <c r="K410" s="37">
        <f t="shared" si="192"/>
        <v>4</v>
      </c>
      <c r="L410" s="37">
        <f t="shared" si="193"/>
        <v>1</v>
      </c>
      <c r="M410">
        <v>0</v>
      </c>
      <c r="N410" s="35">
        <f t="shared" si="194"/>
        <v>740</v>
      </c>
      <c r="O410" s="18">
        <f t="shared" si="195"/>
        <v>2870</v>
      </c>
      <c r="P410" s="18">
        <f t="shared" si="196"/>
        <v>1830</v>
      </c>
      <c r="Q410" s="18">
        <f t="shared" si="197"/>
        <v>0</v>
      </c>
      <c r="R410" s="18">
        <f t="shared" si="198"/>
        <v>0</v>
      </c>
      <c r="S410" s="36">
        <f t="shared" si="199"/>
        <v>50190</v>
      </c>
      <c r="T410" s="37">
        <v>0</v>
      </c>
      <c r="U410" t="s">
        <v>146</v>
      </c>
      <c r="V410" t="s">
        <v>147</v>
      </c>
      <c r="W410" s="37" t="s">
        <v>257</v>
      </c>
      <c r="X410" t="s">
        <v>149</v>
      </c>
      <c r="Y410">
        <v>0</v>
      </c>
    </row>
    <row r="411" spans="1:25" x14ac:dyDescent="0.25">
      <c r="A411" t="s">
        <v>185</v>
      </c>
      <c r="B411">
        <v>2501</v>
      </c>
      <c r="C411">
        <v>9</v>
      </c>
      <c r="D411" t="s">
        <v>144</v>
      </c>
      <c r="E411" t="s">
        <v>186</v>
      </c>
      <c r="F411" s="16">
        <f t="shared" si="189"/>
        <v>4455</v>
      </c>
      <c r="G411" s="17">
        <f t="shared" si="190"/>
        <v>48.6</v>
      </c>
      <c r="H411" s="15">
        <f t="shared" si="200"/>
        <v>1</v>
      </c>
      <c r="I411" s="24">
        <f t="shared" si="191"/>
        <v>32.4</v>
      </c>
      <c r="J411">
        <v>0</v>
      </c>
      <c r="K411" s="37">
        <f t="shared" si="192"/>
        <v>4</v>
      </c>
      <c r="L411" s="37">
        <f t="shared" si="193"/>
        <v>1</v>
      </c>
      <c r="M411">
        <v>0</v>
      </c>
      <c r="N411" s="35">
        <f t="shared" si="194"/>
        <v>970</v>
      </c>
      <c r="O411" s="18">
        <f t="shared" si="195"/>
        <v>3600</v>
      </c>
      <c r="P411" s="18">
        <f t="shared" si="196"/>
        <v>2240</v>
      </c>
      <c r="Q411" s="18">
        <f t="shared" si="197"/>
        <v>130</v>
      </c>
      <c r="R411" s="18">
        <f t="shared" si="198"/>
        <v>0</v>
      </c>
      <c r="S411" s="36">
        <f t="shared" si="199"/>
        <v>58130</v>
      </c>
      <c r="T411" s="37">
        <v>0</v>
      </c>
      <c r="U411" t="s">
        <v>146</v>
      </c>
      <c r="V411" t="s">
        <v>147</v>
      </c>
      <c r="W411" s="37" t="s">
        <v>257</v>
      </c>
      <c r="X411" t="s">
        <v>149</v>
      </c>
      <c r="Y411">
        <v>0</v>
      </c>
    </row>
    <row r="412" spans="1:25" x14ac:dyDescent="0.25">
      <c r="A412" t="s">
        <v>185</v>
      </c>
      <c r="B412">
        <v>2501</v>
      </c>
      <c r="C412">
        <v>10</v>
      </c>
      <c r="D412" t="s">
        <v>144</v>
      </c>
      <c r="E412" t="s">
        <v>186</v>
      </c>
      <c r="F412" s="16">
        <f t="shared" si="189"/>
        <v>4950</v>
      </c>
      <c r="G412" s="17">
        <f t="shared" si="190"/>
        <v>54</v>
      </c>
      <c r="H412" s="15">
        <f t="shared" si="200"/>
        <v>1</v>
      </c>
      <c r="I412" s="24">
        <f t="shared" si="191"/>
        <v>36</v>
      </c>
      <c r="J412">
        <v>0</v>
      </c>
      <c r="K412" s="37">
        <f t="shared" si="192"/>
        <v>4</v>
      </c>
      <c r="L412" s="37">
        <f t="shared" si="193"/>
        <v>1</v>
      </c>
      <c r="M412">
        <v>0</v>
      </c>
      <c r="N412" s="35">
        <f t="shared" si="194"/>
        <v>1230</v>
      </c>
      <c r="O412" s="18">
        <f t="shared" si="195"/>
        <v>4490</v>
      </c>
      <c r="P412" s="18">
        <f t="shared" si="196"/>
        <v>2740</v>
      </c>
      <c r="Q412" s="18">
        <f t="shared" si="197"/>
        <v>270</v>
      </c>
      <c r="R412" s="18">
        <f t="shared" si="198"/>
        <v>0</v>
      </c>
      <c r="S412" s="36">
        <f t="shared" si="199"/>
        <v>66910</v>
      </c>
      <c r="T412" s="37">
        <v>0</v>
      </c>
      <c r="U412" t="s">
        <v>146</v>
      </c>
      <c r="V412" t="s">
        <v>147</v>
      </c>
      <c r="W412" s="37" t="s">
        <v>257</v>
      </c>
      <c r="X412" t="s">
        <v>149</v>
      </c>
      <c r="Y412">
        <v>0</v>
      </c>
    </row>
    <row r="413" spans="1:25" x14ac:dyDescent="0.25">
      <c r="A413" t="s">
        <v>185</v>
      </c>
      <c r="B413">
        <v>2501</v>
      </c>
      <c r="C413">
        <v>11</v>
      </c>
      <c r="D413" t="s">
        <v>144</v>
      </c>
      <c r="E413" t="s">
        <v>186</v>
      </c>
      <c r="F413" s="16">
        <f t="shared" si="189"/>
        <v>5445</v>
      </c>
      <c r="G413" s="17">
        <f t="shared" si="190"/>
        <v>59.4</v>
      </c>
      <c r="H413" s="15">
        <f t="shared" si="200"/>
        <v>1</v>
      </c>
      <c r="I413" s="24">
        <f t="shared" si="191"/>
        <v>39.6</v>
      </c>
      <c r="J413">
        <v>0</v>
      </c>
      <c r="K413" s="37">
        <f t="shared" si="192"/>
        <v>4</v>
      </c>
      <c r="L413" s="37">
        <f t="shared" si="193"/>
        <v>1</v>
      </c>
      <c r="M413">
        <v>0</v>
      </c>
      <c r="N413" s="35">
        <f t="shared" si="194"/>
        <v>1520</v>
      </c>
      <c r="O413" s="18">
        <f t="shared" si="195"/>
        <v>5580</v>
      </c>
      <c r="P413" s="18">
        <f t="shared" si="196"/>
        <v>3340</v>
      </c>
      <c r="Q413" s="18">
        <f t="shared" si="197"/>
        <v>430</v>
      </c>
      <c r="R413" s="18">
        <f t="shared" si="198"/>
        <v>0</v>
      </c>
      <c r="S413" s="36">
        <f t="shared" si="199"/>
        <v>76620</v>
      </c>
      <c r="T413" s="37">
        <v>0</v>
      </c>
      <c r="U413" t="s">
        <v>146</v>
      </c>
      <c r="V413" t="s">
        <v>147</v>
      </c>
      <c r="W413" s="37" t="s">
        <v>257</v>
      </c>
      <c r="X413" t="s">
        <v>149</v>
      </c>
      <c r="Y413">
        <v>0</v>
      </c>
    </row>
    <row r="414" spans="1:25" x14ac:dyDescent="0.25">
      <c r="A414" t="s">
        <v>185</v>
      </c>
      <c r="B414">
        <v>2501</v>
      </c>
      <c r="C414">
        <v>12</v>
      </c>
      <c r="D414" t="s">
        <v>144</v>
      </c>
      <c r="E414" t="s">
        <v>186</v>
      </c>
      <c r="F414" s="16">
        <f t="shared" si="189"/>
        <v>5995</v>
      </c>
      <c r="G414" s="17">
        <f t="shared" si="190"/>
        <v>65.399999999999991</v>
      </c>
      <c r="H414" s="15">
        <f t="shared" si="200"/>
        <v>1</v>
      </c>
      <c r="I414" s="24">
        <f t="shared" si="191"/>
        <v>43.6</v>
      </c>
      <c r="J414">
        <v>0</v>
      </c>
      <c r="K414" s="37">
        <f t="shared" si="192"/>
        <v>4</v>
      </c>
      <c r="L414" s="37">
        <f t="shared" si="193"/>
        <v>1</v>
      </c>
      <c r="M414">
        <v>0</v>
      </c>
      <c r="N414" s="35">
        <f t="shared" si="194"/>
        <v>1840</v>
      </c>
      <c r="O414" s="18">
        <f t="shared" si="195"/>
        <v>6910</v>
      </c>
      <c r="P414" s="18">
        <f t="shared" si="196"/>
        <v>4090</v>
      </c>
      <c r="Q414" s="18">
        <f t="shared" si="197"/>
        <v>610</v>
      </c>
      <c r="R414" s="18">
        <f t="shared" si="198"/>
        <v>0</v>
      </c>
      <c r="S414" s="36">
        <f t="shared" si="199"/>
        <v>87350</v>
      </c>
      <c r="T414" s="37">
        <v>0</v>
      </c>
      <c r="U414" t="s">
        <v>146</v>
      </c>
      <c r="V414" t="s">
        <v>147</v>
      </c>
      <c r="W414" s="37" t="s">
        <v>257</v>
      </c>
      <c r="X414" t="s">
        <v>149</v>
      </c>
      <c r="Y414">
        <v>0</v>
      </c>
    </row>
    <row r="415" spans="1:25" x14ac:dyDescent="0.25">
      <c r="A415" t="s">
        <v>185</v>
      </c>
      <c r="B415">
        <v>2501</v>
      </c>
      <c r="C415">
        <v>13</v>
      </c>
      <c r="D415" t="s">
        <v>144</v>
      </c>
      <c r="E415" t="s">
        <v>186</v>
      </c>
      <c r="F415" s="16">
        <f t="shared" si="189"/>
        <v>6600</v>
      </c>
      <c r="G415" s="17">
        <f t="shared" si="190"/>
        <v>72</v>
      </c>
      <c r="H415" s="15">
        <f t="shared" si="200"/>
        <v>1</v>
      </c>
      <c r="I415" s="24">
        <f t="shared" si="191"/>
        <v>48</v>
      </c>
      <c r="J415">
        <v>0</v>
      </c>
      <c r="K415" s="37">
        <f t="shared" si="192"/>
        <v>4</v>
      </c>
      <c r="L415" s="37">
        <f t="shared" si="193"/>
        <v>1</v>
      </c>
      <c r="M415">
        <v>0</v>
      </c>
      <c r="N415" s="35">
        <f t="shared" si="194"/>
        <v>2190</v>
      </c>
      <c r="O415" s="18">
        <f t="shared" si="195"/>
        <v>8540</v>
      </c>
      <c r="P415" s="18">
        <f t="shared" si="196"/>
        <v>4990</v>
      </c>
      <c r="Q415" s="18">
        <f t="shared" si="197"/>
        <v>810</v>
      </c>
      <c r="R415" s="18">
        <f t="shared" si="198"/>
        <v>0</v>
      </c>
      <c r="S415" s="36">
        <f t="shared" si="199"/>
        <v>99200</v>
      </c>
      <c r="T415" s="37">
        <v>0</v>
      </c>
      <c r="U415" t="s">
        <v>146</v>
      </c>
      <c r="V415" t="s">
        <v>147</v>
      </c>
      <c r="W415" s="37" t="s">
        <v>257</v>
      </c>
      <c r="X415" t="s">
        <v>149</v>
      </c>
      <c r="Y415">
        <v>0</v>
      </c>
    </row>
    <row r="416" spans="1:25" x14ac:dyDescent="0.25">
      <c r="A416" t="s">
        <v>185</v>
      </c>
      <c r="B416">
        <v>2501</v>
      </c>
      <c r="C416">
        <v>14</v>
      </c>
      <c r="D416" t="s">
        <v>144</v>
      </c>
      <c r="E416" t="s">
        <v>186</v>
      </c>
      <c r="F416" s="16">
        <f t="shared" si="189"/>
        <v>7205</v>
      </c>
      <c r="G416" s="17">
        <f t="shared" si="190"/>
        <v>78.599999999999994</v>
      </c>
      <c r="H416" s="15">
        <f t="shared" si="200"/>
        <v>1</v>
      </c>
      <c r="I416" s="24">
        <f t="shared" si="191"/>
        <v>52.400000000000006</v>
      </c>
      <c r="J416">
        <v>0</v>
      </c>
      <c r="K416" s="37">
        <f t="shared" si="192"/>
        <v>4</v>
      </c>
      <c r="L416" s="37">
        <f t="shared" si="193"/>
        <v>1</v>
      </c>
      <c r="M416">
        <v>0</v>
      </c>
      <c r="N416" s="35">
        <f t="shared" si="194"/>
        <v>2570</v>
      </c>
      <c r="O416" s="18">
        <f t="shared" si="195"/>
        <v>10520</v>
      </c>
      <c r="P416" s="18">
        <f t="shared" si="196"/>
        <v>6100</v>
      </c>
      <c r="Q416" s="18">
        <f t="shared" si="197"/>
        <v>1020</v>
      </c>
      <c r="R416" s="18">
        <f t="shared" si="198"/>
        <v>0</v>
      </c>
      <c r="S416" s="36">
        <f t="shared" si="199"/>
        <v>112300</v>
      </c>
      <c r="T416" s="37">
        <v>0</v>
      </c>
      <c r="U416" t="s">
        <v>146</v>
      </c>
      <c r="V416" t="s">
        <v>147</v>
      </c>
      <c r="W416" s="37" t="s">
        <v>257</v>
      </c>
      <c r="X416" t="s">
        <v>149</v>
      </c>
      <c r="Y416">
        <v>0</v>
      </c>
    </row>
    <row r="417" spans="1:25" x14ac:dyDescent="0.25">
      <c r="A417" t="s">
        <v>185</v>
      </c>
      <c r="B417">
        <v>2501</v>
      </c>
      <c r="C417">
        <v>15</v>
      </c>
      <c r="D417" t="s">
        <v>144</v>
      </c>
      <c r="E417" t="s">
        <v>186</v>
      </c>
      <c r="F417" s="16">
        <f t="shared" si="189"/>
        <v>7920</v>
      </c>
      <c r="G417" s="17">
        <f t="shared" si="190"/>
        <v>86.399999999999991</v>
      </c>
      <c r="H417" s="15">
        <f t="shared" si="200"/>
        <v>1</v>
      </c>
      <c r="I417" s="24">
        <f t="shared" si="191"/>
        <v>57.6</v>
      </c>
      <c r="J417">
        <v>0</v>
      </c>
      <c r="K417" s="37">
        <f t="shared" si="192"/>
        <v>4</v>
      </c>
      <c r="L417" s="37">
        <f t="shared" si="193"/>
        <v>1</v>
      </c>
      <c r="M417">
        <v>0</v>
      </c>
      <c r="N417" s="35">
        <f t="shared" si="194"/>
        <v>3000</v>
      </c>
      <c r="O417" s="18">
        <f t="shared" si="195"/>
        <v>12950</v>
      </c>
      <c r="P417" s="18">
        <f t="shared" si="196"/>
        <v>7450</v>
      </c>
      <c r="Q417" s="18">
        <f t="shared" si="197"/>
        <v>1260</v>
      </c>
      <c r="R417" s="18">
        <f t="shared" si="198"/>
        <v>0</v>
      </c>
      <c r="S417" s="36">
        <f t="shared" si="199"/>
        <v>126780</v>
      </c>
      <c r="T417" s="37">
        <v>0</v>
      </c>
      <c r="U417" t="s">
        <v>146</v>
      </c>
      <c r="V417" t="s">
        <v>147</v>
      </c>
      <c r="W417" s="37" t="s">
        <v>257</v>
      </c>
      <c r="X417" t="s">
        <v>149</v>
      </c>
      <c r="Y417">
        <v>0</v>
      </c>
    </row>
    <row r="418" spans="1:25" x14ac:dyDescent="0.25">
      <c r="G418" s="15"/>
      <c r="H418" s="15"/>
    </row>
    <row r="419" spans="1:25" x14ac:dyDescent="0.25">
      <c r="A419" t="s">
        <v>203</v>
      </c>
      <c r="B419" s="15" t="s">
        <v>201</v>
      </c>
      <c r="C419">
        <v>10</v>
      </c>
      <c r="G419" s="15"/>
      <c r="H419" s="15"/>
      <c r="K419" s="7" t="s">
        <v>1</v>
      </c>
      <c r="L419" s="8" t="s">
        <v>2</v>
      </c>
      <c r="M419" s="8" t="s">
        <v>194</v>
      </c>
      <c r="N419" s="33" t="s">
        <v>204</v>
      </c>
      <c r="O419" s="12" t="s">
        <v>205</v>
      </c>
    </row>
    <row r="420" spans="1:25" x14ac:dyDescent="0.25">
      <c r="A420" t="s">
        <v>203</v>
      </c>
      <c r="B420" t="s">
        <v>202</v>
      </c>
      <c r="C420">
        <v>5</v>
      </c>
      <c r="G420" s="15"/>
      <c r="H420" s="15" t="s">
        <v>132</v>
      </c>
      <c r="K420">
        <v>0.1</v>
      </c>
      <c r="L420">
        <v>-2</v>
      </c>
      <c r="M420">
        <v>5000</v>
      </c>
    </row>
    <row r="421" spans="1:25" x14ac:dyDescent="0.25">
      <c r="A421" t="s">
        <v>203</v>
      </c>
      <c r="B421" t="s">
        <v>128</v>
      </c>
      <c r="C421" t="s">
        <v>118</v>
      </c>
      <c r="G421" s="15"/>
      <c r="H421" s="15" t="s">
        <v>133</v>
      </c>
      <c r="K421">
        <v>0.2</v>
      </c>
      <c r="L421">
        <v>590</v>
      </c>
      <c r="M421">
        <v>10000</v>
      </c>
    </row>
    <row r="422" spans="1:25" x14ac:dyDescent="0.25">
      <c r="A422" t="s">
        <v>203</v>
      </c>
      <c r="G422" s="15"/>
      <c r="H422" s="15" t="s">
        <v>198</v>
      </c>
      <c r="K422">
        <v>0.2</v>
      </c>
      <c r="L422">
        <v>760</v>
      </c>
      <c r="M422">
        <v>13000</v>
      </c>
    </row>
    <row r="423" spans="1:25" x14ac:dyDescent="0.25">
      <c r="A423" t="s">
        <v>203</v>
      </c>
      <c r="G423" s="15"/>
      <c r="H423" s="15" t="s">
        <v>135</v>
      </c>
      <c r="K423">
        <v>0.5</v>
      </c>
      <c r="L423">
        <v>-5</v>
      </c>
      <c r="M423">
        <v>1500</v>
      </c>
    </row>
    <row r="424" spans="1:25" x14ac:dyDescent="0.25">
      <c r="A424" t="s">
        <v>203</v>
      </c>
      <c r="G424" s="15"/>
      <c r="H424" s="15" t="s">
        <v>136</v>
      </c>
      <c r="K424">
        <v>0</v>
      </c>
      <c r="L424">
        <v>0</v>
      </c>
      <c r="M424">
        <v>0</v>
      </c>
    </row>
    <row r="425" spans="1:25" x14ac:dyDescent="0.25">
      <c r="A425" t="s">
        <v>203</v>
      </c>
      <c r="G425" s="15"/>
      <c r="H425" s="15" t="s">
        <v>69</v>
      </c>
      <c r="K425">
        <v>0.15</v>
      </c>
      <c r="L425" s="15">
        <v>24300</v>
      </c>
      <c r="M425" s="21">
        <v>111100</v>
      </c>
      <c r="N425" s="34" t="str">
        <f>TEXT(L425/86400,CHOOSE(MATCH(L425,{0,60,3600},1),":ss","m:ss","[h]:mm:ss"))</f>
        <v>6:45:00</v>
      </c>
      <c r="O425" s="11" t="str">
        <f>TEXT(M425/86400,CHOOSE(MATCH(M425,{0,60,3600},1),":ss","m:ss","[h]:mm:ss"))</f>
        <v>30:51:40</v>
      </c>
    </row>
    <row r="426" spans="1:25" x14ac:dyDescent="0.25">
      <c r="G426" s="15"/>
      <c r="H426" s="15"/>
      <c r="L426" s="3"/>
      <c r="M426" s="3"/>
    </row>
    <row r="427" spans="1:25" x14ac:dyDescent="0.25">
      <c r="A427" t="s">
        <v>187</v>
      </c>
      <c r="B427">
        <v>2502</v>
      </c>
      <c r="C427">
        <v>0</v>
      </c>
      <c r="D427" t="s">
        <v>144</v>
      </c>
      <c r="E427" t="s">
        <v>145</v>
      </c>
      <c r="F427" s="16">
        <v>500</v>
      </c>
      <c r="G427" s="15">
        <v>0</v>
      </c>
      <c r="H427" s="15">
        <v>0</v>
      </c>
      <c r="I427" s="24">
        <v>0</v>
      </c>
      <c r="J427">
        <v>0</v>
      </c>
      <c r="K427">
        <v>0</v>
      </c>
      <c r="L427">
        <v>0</v>
      </c>
      <c r="M427">
        <v>0</v>
      </c>
      <c r="N427" s="16">
        <v>0</v>
      </c>
      <c r="O427">
        <v>0</v>
      </c>
      <c r="P427">
        <v>0</v>
      </c>
      <c r="Q427">
        <v>0</v>
      </c>
      <c r="R427">
        <v>0</v>
      </c>
      <c r="S427" s="21">
        <v>0</v>
      </c>
      <c r="T427">
        <v>0</v>
      </c>
      <c r="U427" t="s">
        <v>146</v>
      </c>
      <c r="V427" t="s">
        <v>147</v>
      </c>
      <c r="W427" s="37" t="s">
        <v>257</v>
      </c>
      <c r="X427" t="s">
        <v>149</v>
      </c>
      <c r="Y427">
        <v>0</v>
      </c>
    </row>
    <row r="428" spans="1:25" x14ac:dyDescent="0.25">
      <c r="A428" t="s">
        <v>187</v>
      </c>
      <c r="B428">
        <v>2502</v>
      </c>
      <c r="C428">
        <v>1</v>
      </c>
      <c r="D428" t="s">
        <v>144</v>
      </c>
      <c r="E428" t="s">
        <v>188</v>
      </c>
      <c r="F428" s="16">
        <f t="shared" ref="F428:F437" si="201">VLOOKUP($C$421,$C$4:$M$9,4,FALSE)*(LOOKUP($C$420,$B$13:$B$28,$C$13:$C$28)+LOOKUP($C428,$B$13:$B$28,$D$13:$D$28))</f>
        <v>2145</v>
      </c>
      <c r="G428" s="17">
        <f t="shared" ref="G428:G437" si="202">VLOOKUP($C$421,$C$4:$M$9,5,FALSE)*(LOOKUP($C$420,$B$13:$B$28,$C$13:$C$28)+LOOKUP($C428,$B$13:$B$28,$D$13:$D$28))</f>
        <v>23.4</v>
      </c>
      <c r="H428" s="15">
        <f>VLOOKUP($C$421,$C$4:$M$9,6,FALSE)</f>
        <v>1</v>
      </c>
      <c r="I428" s="24">
        <f t="shared" ref="I428:I437" si="203">VLOOKUP($C$421,$C$4:$M$9,7,FALSE)*(LOOKUP($C$420,$B$13:$B$28,$C$13:$C$28)+LOOKUP($C428,$B$13:$B$28,$D$13:$D$28))</f>
        <v>15.600000000000001</v>
      </c>
      <c r="J428">
        <v>0</v>
      </c>
      <c r="K428">
        <f t="shared" ref="K428:K437" si="204">VLOOKUP($C$421,$C$4:$M$9,9,FALSE)</f>
        <v>4</v>
      </c>
      <c r="L428">
        <f t="shared" ref="L428:L437" si="205">VLOOKUP($C$421,$C$4:$M$9,10,FALSE)</f>
        <v>1</v>
      </c>
      <c r="M428">
        <v>0</v>
      </c>
      <c r="N428" s="35">
        <f>ROUND(GetValue($C428,$C$419,$K$420,$L$420,$M$420),-1)</f>
        <v>0</v>
      </c>
      <c r="O428" s="18">
        <f>ROUND(GetValue($C428,$C$419,$K$421,$L$421,$M$421),-1)</f>
        <v>590</v>
      </c>
      <c r="P428" s="18">
        <f>ROUND(GetValue($C428,$C$419,$K$422,$L$422,$M$422),-1)</f>
        <v>760</v>
      </c>
      <c r="Q428" s="18">
        <f>ROUND(GetValue($C428,$C$419,$K$423,$L$423,$M$423),-1)</f>
        <v>0</v>
      </c>
      <c r="R428" s="18">
        <f>ROUND(GetValue($C428,$C$419,$K$424,$L$424,$M$424),-1)</f>
        <v>0</v>
      </c>
      <c r="S428" s="36">
        <f>ROUND(GetValue($C428,$C$419,$K$425,$L$425,$M$425),-1)</f>
        <v>24300</v>
      </c>
      <c r="T428" s="37">
        <v>0</v>
      </c>
      <c r="U428" t="s">
        <v>146</v>
      </c>
      <c r="V428" t="s">
        <v>147</v>
      </c>
      <c r="W428" s="37" t="s">
        <v>257</v>
      </c>
      <c r="X428" t="s">
        <v>149</v>
      </c>
      <c r="Y428">
        <v>0</v>
      </c>
    </row>
    <row r="429" spans="1:25" x14ac:dyDescent="0.25">
      <c r="A429" t="s">
        <v>187</v>
      </c>
      <c r="B429">
        <v>2502</v>
      </c>
      <c r="C429">
        <v>2</v>
      </c>
      <c r="D429" t="s">
        <v>144</v>
      </c>
      <c r="E429" t="s">
        <v>188</v>
      </c>
      <c r="F429" s="16">
        <f t="shared" si="201"/>
        <v>2310</v>
      </c>
      <c r="G429" s="17">
        <f t="shared" si="202"/>
        <v>25.2</v>
      </c>
      <c r="H429" s="15">
        <f>H428</f>
        <v>1</v>
      </c>
      <c r="I429" s="24">
        <f t="shared" si="203"/>
        <v>16.8</v>
      </c>
      <c r="J429">
        <v>0</v>
      </c>
      <c r="K429" s="37">
        <f t="shared" si="204"/>
        <v>4</v>
      </c>
      <c r="L429" s="37">
        <f t="shared" si="205"/>
        <v>1</v>
      </c>
      <c r="M429">
        <v>0</v>
      </c>
      <c r="N429" s="35">
        <f t="shared" ref="N429:N437" si="206">ROUND(GetValue($C429,$C$419,$K$420,$L$420,$M$420),-1)</f>
        <v>0</v>
      </c>
      <c r="O429" s="18">
        <f t="shared" ref="O429:O437" si="207">ROUND(GetValue($C429,$C$419,$K$421,$L$421,$M$421),-1)</f>
        <v>980</v>
      </c>
      <c r="P429" s="18">
        <f t="shared" ref="P429:P437" si="208">ROUND(GetValue($C429,$C$419,$K$422,$L$422,$M$422),-1)</f>
        <v>1260</v>
      </c>
      <c r="Q429" s="18">
        <f t="shared" ref="Q429:Q437" si="209">ROUND(GetValue($C429,$C$419,$K$423,$L$423,$M$423),-1)</f>
        <v>0</v>
      </c>
      <c r="R429" s="18">
        <f t="shared" ref="R429:R437" si="210">ROUND(GetValue($C429,$C$419,$K$424,$L$424,$M$424),-1)</f>
        <v>0</v>
      </c>
      <c r="S429" s="36">
        <f t="shared" ref="S429:S437" si="211">ROUND(GetValue($C429,$C$419,$K$425,$L$425,$M$425),-1)</f>
        <v>29980</v>
      </c>
      <c r="T429" s="37">
        <v>0</v>
      </c>
      <c r="U429" t="s">
        <v>146</v>
      </c>
      <c r="V429" t="s">
        <v>147</v>
      </c>
      <c r="W429" s="37" t="s">
        <v>257</v>
      </c>
      <c r="X429" t="s">
        <v>149</v>
      </c>
      <c r="Y429">
        <v>0</v>
      </c>
    </row>
    <row r="430" spans="1:25" x14ac:dyDescent="0.25">
      <c r="A430" t="s">
        <v>187</v>
      </c>
      <c r="B430">
        <v>2502</v>
      </c>
      <c r="C430">
        <v>3</v>
      </c>
      <c r="D430" t="s">
        <v>144</v>
      </c>
      <c r="E430" t="s">
        <v>188</v>
      </c>
      <c r="F430" s="16">
        <f t="shared" si="201"/>
        <v>2585</v>
      </c>
      <c r="G430" s="17">
        <f t="shared" si="202"/>
        <v>28.2</v>
      </c>
      <c r="H430" s="15">
        <f t="shared" ref="H430:H437" si="212">H429</f>
        <v>1</v>
      </c>
      <c r="I430" s="24">
        <f t="shared" si="203"/>
        <v>18.8</v>
      </c>
      <c r="J430">
        <v>0</v>
      </c>
      <c r="K430" s="37">
        <f t="shared" si="204"/>
        <v>4</v>
      </c>
      <c r="L430" s="37">
        <f t="shared" si="205"/>
        <v>1</v>
      </c>
      <c r="M430">
        <v>0</v>
      </c>
      <c r="N430" s="35">
        <f t="shared" si="206"/>
        <v>240</v>
      </c>
      <c r="O430" s="18">
        <f t="shared" si="207"/>
        <v>1450</v>
      </c>
      <c r="P430" s="18">
        <f t="shared" si="208"/>
        <v>1880</v>
      </c>
      <c r="Q430" s="18">
        <f t="shared" si="209"/>
        <v>0</v>
      </c>
      <c r="R430" s="18">
        <f t="shared" si="210"/>
        <v>0</v>
      </c>
      <c r="S430" s="36">
        <f t="shared" si="211"/>
        <v>36580</v>
      </c>
      <c r="T430" s="37">
        <v>0</v>
      </c>
      <c r="U430" t="s">
        <v>146</v>
      </c>
      <c r="V430" t="s">
        <v>147</v>
      </c>
      <c r="W430" s="37" t="s">
        <v>257</v>
      </c>
      <c r="X430" t="s">
        <v>149</v>
      </c>
      <c r="Y430">
        <v>0</v>
      </c>
    </row>
    <row r="431" spans="1:25" x14ac:dyDescent="0.25">
      <c r="A431" t="s">
        <v>187</v>
      </c>
      <c r="B431">
        <v>2502</v>
      </c>
      <c r="C431">
        <v>4</v>
      </c>
      <c r="D431" t="s">
        <v>144</v>
      </c>
      <c r="E431" t="s">
        <v>188</v>
      </c>
      <c r="F431" s="16">
        <f t="shared" si="201"/>
        <v>2915</v>
      </c>
      <c r="G431" s="17">
        <f t="shared" si="202"/>
        <v>31.799999999999997</v>
      </c>
      <c r="H431" s="15">
        <f t="shared" si="212"/>
        <v>1</v>
      </c>
      <c r="I431" s="24">
        <f t="shared" si="203"/>
        <v>21.200000000000003</v>
      </c>
      <c r="J431">
        <v>0</v>
      </c>
      <c r="K431" s="37">
        <f t="shared" si="204"/>
        <v>4</v>
      </c>
      <c r="L431" s="37">
        <f t="shared" si="205"/>
        <v>1</v>
      </c>
      <c r="M431">
        <v>0</v>
      </c>
      <c r="N431" s="35">
        <f t="shared" si="206"/>
        <v>500</v>
      </c>
      <c r="O431" s="18">
        <f t="shared" si="207"/>
        <v>2030</v>
      </c>
      <c r="P431" s="18">
        <f t="shared" si="208"/>
        <v>2630</v>
      </c>
      <c r="Q431" s="18">
        <f t="shared" si="209"/>
        <v>0</v>
      </c>
      <c r="R431" s="18">
        <f t="shared" si="210"/>
        <v>0</v>
      </c>
      <c r="S431" s="36">
        <f t="shared" si="211"/>
        <v>44250</v>
      </c>
      <c r="T431" s="37">
        <v>0</v>
      </c>
      <c r="U431" t="s">
        <v>146</v>
      </c>
      <c r="V431" t="s">
        <v>147</v>
      </c>
      <c r="W431" s="37" t="s">
        <v>257</v>
      </c>
      <c r="X431" t="s">
        <v>149</v>
      </c>
      <c r="Y431">
        <v>0</v>
      </c>
    </row>
    <row r="432" spans="1:25" x14ac:dyDescent="0.25">
      <c r="A432" t="s">
        <v>187</v>
      </c>
      <c r="B432">
        <v>2502</v>
      </c>
      <c r="C432">
        <v>5</v>
      </c>
      <c r="D432" t="s">
        <v>144</v>
      </c>
      <c r="E432" t="s">
        <v>188</v>
      </c>
      <c r="F432" s="16">
        <f t="shared" si="201"/>
        <v>3190</v>
      </c>
      <c r="G432" s="17">
        <f t="shared" si="202"/>
        <v>34.799999999999997</v>
      </c>
      <c r="H432" s="15">
        <f t="shared" si="212"/>
        <v>1</v>
      </c>
      <c r="I432" s="24">
        <f t="shared" si="203"/>
        <v>23.200000000000003</v>
      </c>
      <c r="J432">
        <v>0</v>
      </c>
      <c r="K432" s="37">
        <f t="shared" si="204"/>
        <v>4</v>
      </c>
      <c r="L432" s="37">
        <f t="shared" si="205"/>
        <v>1</v>
      </c>
      <c r="M432">
        <v>0</v>
      </c>
      <c r="N432" s="35">
        <f t="shared" si="206"/>
        <v>790</v>
      </c>
      <c r="O432" s="18">
        <f t="shared" si="207"/>
        <v>2740</v>
      </c>
      <c r="P432" s="18">
        <f t="shared" si="208"/>
        <v>3550</v>
      </c>
      <c r="Q432" s="18">
        <f t="shared" si="209"/>
        <v>0</v>
      </c>
      <c r="R432" s="18">
        <f t="shared" si="210"/>
        <v>0</v>
      </c>
      <c r="S432" s="36">
        <f t="shared" si="211"/>
        <v>53160</v>
      </c>
      <c r="T432" s="37">
        <v>0</v>
      </c>
      <c r="U432" t="s">
        <v>146</v>
      </c>
      <c r="V432" t="s">
        <v>147</v>
      </c>
      <c r="W432" s="37" t="s">
        <v>257</v>
      </c>
      <c r="X432" t="s">
        <v>149</v>
      </c>
      <c r="Y432">
        <v>0</v>
      </c>
    </row>
    <row r="433" spans="1:25" x14ac:dyDescent="0.25">
      <c r="A433" t="s">
        <v>187</v>
      </c>
      <c r="B433">
        <v>2502</v>
      </c>
      <c r="C433">
        <v>6</v>
      </c>
      <c r="D433" t="s">
        <v>144</v>
      </c>
      <c r="E433" t="s">
        <v>188</v>
      </c>
      <c r="F433" s="16">
        <f t="shared" si="201"/>
        <v>3520</v>
      </c>
      <c r="G433" s="17">
        <f t="shared" si="202"/>
        <v>38.4</v>
      </c>
      <c r="H433" s="15">
        <f t="shared" si="212"/>
        <v>1</v>
      </c>
      <c r="I433" s="24">
        <f t="shared" si="203"/>
        <v>25.6</v>
      </c>
      <c r="J433">
        <v>0</v>
      </c>
      <c r="K433" s="37">
        <f t="shared" si="204"/>
        <v>4</v>
      </c>
      <c r="L433" s="37">
        <f t="shared" si="205"/>
        <v>1</v>
      </c>
      <c r="M433">
        <v>0</v>
      </c>
      <c r="N433" s="35">
        <f t="shared" si="206"/>
        <v>1100</v>
      </c>
      <c r="O433" s="18">
        <f t="shared" si="207"/>
        <v>3600</v>
      </c>
      <c r="P433" s="18">
        <f t="shared" si="208"/>
        <v>4670</v>
      </c>
      <c r="Q433" s="18">
        <f t="shared" si="209"/>
        <v>80</v>
      </c>
      <c r="R433" s="18">
        <f t="shared" si="210"/>
        <v>0</v>
      </c>
      <c r="S433" s="36">
        <f t="shared" si="211"/>
        <v>63510</v>
      </c>
      <c r="T433" s="37">
        <v>0</v>
      </c>
      <c r="U433" t="s">
        <v>146</v>
      </c>
      <c r="V433" t="s">
        <v>147</v>
      </c>
      <c r="W433" s="37" t="s">
        <v>257</v>
      </c>
      <c r="X433" t="s">
        <v>149</v>
      </c>
      <c r="Y433">
        <v>0</v>
      </c>
    </row>
    <row r="434" spans="1:25" x14ac:dyDescent="0.25">
      <c r="A434" t="s">
        <v>187</v>
      </c>
      <c r="B434">
        <v>2502</v>
      </c>
      <c r="C434">
        <v>7</v>
      </c>
      <c r="D434" t="s">
        <v>144</v>
      </c>
      <c r="E434" t="s">
        <v>188</v>
      </c>
      <c r="F434" s="16">
        <f t="shared" si="201"/>
        <v>3905</v>
      </c>
      <c r="G434" s="17">
        <f t="shared" si="202"/>
        <v>42.6</v>
      </c>
      <c r="H434" s="15">
        <f t="shared" si="212"/>
        <v>1</v>
      </c>
      <c r="I434" s="24">
        <f t="shared" si="203"/>
        <v>28.400000000000002</v>
      </c>
      <c r="J434">
        <v>0</v>
      </c>
      <c r="K434" s="37">
        <f t="shared" si="204"/>
        <v>4</v>
      </c>
      <c r="L434" s="37">
        <f t="shared" si="205"/>
        <v>1</v>
      </c>
      <c r="M434">
        <v>0</v>
      </c>
      <c r="N434" s="35">
        <f t="shared" si="206"/>
        <v>1460</v>
      </c>
      <c r="O434" s="18">
        <f t="shared" si="207"/>
        <v>4650</v>
      </c>
      <c r="P434" s="18">
        <f t="shared" si="208"/>
        <v>6040</v>
      </c>
      <c r="Q434" s="18">
        <f t="shared" si="209"/>
        <v>210</v>
      </c>
      <c r="R434" s="18">
        <f t="shared" si="210"/>
        <v>0</v>
      </c>
      <c r="S434" s="36">
        <f t="shared" si="211"/>
        <v>75530</v>
      </c>
      <c r="T434" s="37">
        <v>0</v>
      </c>
      <c r="U434" t="s">
        <v>146</v>
      </c>
      <c r="V434" t="s">
        <v>147</v>
      </c>
      <c r="W434" s="37" t="s">
        <v>257</v>
      </c>
      <c r="X434" t="s">
        <v>149</v>
      </c>
      <c r="Y434">
        <v>0</v>
      </c>
    </row>
    <row r="435" spans="1:25" x14ac:dyDescent="0.25">
      <c r="A435" t="s">
        <v>187</v>
      </c>
      <c r="B435">
        <v>2502</v>
      </c>
      <c r="C435">
        <v>8</v>
      </c>
      <c r="D435" t="s">
        <v>144</v>
      </c>
      <c r="E435" t="s">
        <v>188</v>
      </c>
      <c r="F435" s="16">
        <f t="shared" si="201"/>
        <v>4290</v>
      </c>
      <c r="G435" s="17">
        <f t="shared" si="202"/>
        <v>46.8</v>
      </c>
      <c r="H435" s="15">
        <f t="shared" si="212"/>
        <v>1</v>
      </c>
      <c r="I435" s="24">
        <f t="shared" si="203"/>
        <v>31.200000000000003</v>
      </c>
      <c r="J435">
        <v>0</v>
      </c>
      <c r="K435" s="37">
        <f t="shared" si="204"/>
        <v>4</v>
      </c>
      <c r="L435" s="37">
        <f t="shared" si="205"/>
        <v>1</v>
      </c>
      <c r="M435">
        <v>0</v>
      </c>
      <c r="N435" s="35">
        <f t="shared" si="206"/>
        <v>1850</v>
      </c>
      <c r="O435" s="18">
        <f t="shared" si="207"/>
        <v>5940</v>
      </c>
      <c r="P435" s="18">
        <f t="shared" si="208"/>
        <v>7710</v>
      </c>
      <c r="Q435" s="18">
        <f t="shared" si="209"/>
        <v>430</v>
      </c>
      <c r="R435" s="18">
        <f t="shared" si="210"/>
        <v>0</v>
      </c>
      <c r="S435" s="36">
        <f t="shared" si="211"/>
        <v>89510</v>
      </c>
      <c r="T435" s="37">
        <v>0</v>
      </c>
      <c r="U435" t="s">
        <v>146</v>
      </c>
      <c r="V435" t="s">
        <v>147</v>
      </c>
      <c r="W435" s="37" t="s">
        <v>257</v>
      </c>
      <c r="X435" t="s">
        <v>149</v>
      </c>
      <c r="Y435">
        <v>0</v>
      </c>
    </row>
    <row r="436" spans="1:25" x14ac:dyDescent="0.25">
      <c r="A436" t="s">
        <v>187</v>
      </c>
      <c r="B436">
        <v>2502</v>
      </c>
      <c r="C436">
        <v>9</v>
      </c>
      <c r="D436" t="s">
        <v>144</v>
      </c>
      <c r="E436" t="s">
        <v>188</v>
      </c>
      <c r="F436" s="16">
        <f t="shared" si="201"/>
        <v>4730</v>
      </c>
      <c r="G436" s="17">
        <f t="shared" si="202"/>
        <v>51.6</v>
      </c>
      <c r="H436" s="15">
        <f t="shared" si="212"/>
        <v>1</v>
      </c>
      <c r="I436" s="24">
        <f t="shared" si="203"/>
        <v>34.4</v>
      </c>
      <c r="J436">
        <v>0</v>
      </c>
      <c r="K436" s="37">
        <f t="shared" si="204"/>
        <v>4</v>
      </c>
      <c r="L436" s="37">
        <f t="shared" si="205"/>
        <v>1</v>
      </c>
      <c r="M436">
        <v>0</v>
      </c>
      <c r="N436" s="35">
        <f t="shared" si="206"/>
        <v>2280</v>
      </c>
      <c r="O436" s="18">
        <f t="shared" si="207"/>
        <v>7510</v>
      </c>
      <c r="P436" s="18">
        <f t="shared" si="208"/>
        <v>9750</v>
      </c>
      <c r="Q436" s="18">
        <f t="shared" si="209"/>
        <v>790</v>
      </c>
      <c r="R436" s="18">
        <f t="shared" si="210"/>
        <v>0</v>
      </c>
      <c r="S436" s="36">
        <f t="shared" si="211"/>
        <v>105740</v>
      </c>
      <c r="T436" s="37">
        <v>0</v>
      </c>
      <c r="U436" t="s">
        <v>146</v>
      </c>
      <c r="V436" t="s">
        <v>147</v>
      </c>
      <c r="W436" s="37" t="s">
        <v>257</v>
      </c>
      <c r="X436" t="s">
        <v>149</v>
      </c>
      <c r="Y436">
        <v>0</v>
      </c>
    </row>
    <row r="437" spans="1:25" x14ac:dyDescent="0.25">
      <c r="A437" t="s">
        <v>187</v>
      </c>
      <c r="B437">
        <v>2502</v>
      </c>
      <c r="C437">
        <v>10</v>
      </c>
      <c r="D437" t="s">
        <v>144</v>
      </c>
      <c r="E437" t="s">
        <v>188</v>
      </c>
      <c r="F437" s="16">
        <f t="shared" si="201"/>
        <v>5225</v>
      </c>
      <c r="G437" s="17">
        <f t="shared" si="202"/>
        <v>57</v>
      </c>
      <c r="H437" s="15">
        <f t="shared" si="212"/>
        <v>1</v>
      </c>
      <c r="I437" s="24">
        <f t="shared" si="203"/>
        <v>38</v>
      </c>
      <c r="J437">
        <v>0</v>
      </c>
      <c r="K437" s="37">
        <f t="shared" si="204"/>
        <v>4</v>
      </c>
      <c r="L437" s="37">
        <f t="shared" si="205"/>
        <v>1</v>
      </c>
      <c r="M437">
        <v>0</v>
      </c>
      <c r="N437" s="35">
        <f t="shared" si="206"/>
        <v>2750</v>
      </c>
      <c r="O437" s="18">
        <f t="shared" si="207"/>
        <v>9430</v>
      </c>
      <c r="P437" s="18">
        <f t="shared" si="208"/>
        <v>12250</v>
      </c>
      <c r="Q437" s="18">
        <f t="shared" si="209"/>
        <v>1380</v>
      </c>
      <c r="R437" s="18">
        <f t="shared" si="210"/>
        <v>0</v>
      </c>
      <c r="S437" s="36">
        <f t="shared" si="211"/>
        <v>124600</v>
      </c>
      <c r="T437" s="37">
        <v>0</v>
      </c>
      <c r="U437" t="s">
        <v>146</v>
      </c>
      <c r="V437" t="s">
        <v>147</v>
      </c>
      <c r="W437" s="37" t="s">
        <v>257</v>
      </c>
      <c r="X437" t="s">
        <v>149</v>
      </c>
      <c r="Y437">
        <v>0</v>
      </c>
    </row>
    <row r="438" spans="1:25" x14ac:dyDescent="0.25">
      <c r="G438" s="15"/>
      <c r="H438" s="15"/>
    </row>
    <row r="439" spans="1:25" x14ac:dyDescent="0.25">
      <c r="A439" t="s">
        <v>190</v>
      </c>
      <c r="B439">
        <v>3002</v>
      </c>
      <c r="C439">
        <v>0</v>
      </c>
      <c r="D439" t="s">
        <v>144</v>
      </c>
      <c r="E439" t="s">
        <v>145</v>
      </c>
      <c r="F439" s="16">
        <v>500</v>
      </c>
      <c r="G439" s="15">
        <v>0</v>
      </c>
      <c r="H439" s="15">
        <v>1</v>
      </c>
      <c r="I439" s="24">
        <v>0</v>
      </c>
      <c r="J439">
        <v>0</v>
      </c>
      <c r="K439">
        <v>0</v>
      </c>
      <c r="L439">
        <v>0</v>
      </c>
      <c r="M439">
        <v>0</v>
      </c>
      <c r="N439" s="16">
        <v>0</v>
      </c>
      <c r="O439">
        <v>0</v>
      </c>
      <c r="P439">
        <v>0</v>
      </c>
      <c r="Q439">
        <v>0</v>
      </c>
      <c r="R439">
        <v>0</v>
      </c>
      <c r="S439" s="21">
        <v>0</v>
      </c>
      <c r="T439" s="37">
        <v>0</v>
      </c>
      <c r="U439" t="s">
        <v>146</v>
      </c>
      <c r="V439" t="s">
        <v>147</v>
      </c>
      <c r="W439" s="37" t="s">
        <v>256</v>
      </c>
      <c r="X439" t="s">
        <v>149</v>
      </c>
      <c r="Y439">
        <v>0</v>
      </c>
    </row>
    <row r="440" spans="1:25" x14ac:dyDescent="0.25">
      <c r="A440" t="s">
        <v>190</v>
      </c>
      <c r="B440">
        <v>3002</v>
      </c>
      <c r="C440">
        <v>1</v>
      </c>
      <c r="D440" t="s">
        <v>144</v>
      </c>
      <c r="E440" s="37" t="s">
        <v>243</v>
      </c>
      <c r="F440" s="16">
        <v>800</v>
      </c>
      <c r="G440" s="15">
        <f>I440/5</f>
        <v>20</v>
      </c>
      <c r="H440" s="15">
        <v>1</v>
      </c>
      <c r="I440" s="24">
        <v>100</v>
      </c>
      <c r="J440">
        <v>0</v>
      </c>
      <c r="K440">
        <v>3</v>
      </c>
      <c r="L440">
        <v>1</v>
      </c>
      <c r="M440">
        <v>0</v>
      </c>
      <c r="N440" s="16">
        <v>0</v>
      </c>
      <c r="O440">
        <v>200</v>
      </c>
      <c r="P440">
        <v>200</v>
      </c>
      <c r="Q440">
        <v>0</v>
      </c>
      <c r="R440">
        <v>0</v>
      </c>
      <c r="S440" s="21">
        <v>14400</v>
      </c>
      <c r="T440" s="37">
        <v>0</v>
      </c>
      <c r="U440" t="s">
        <v>146</v>
      </c>
      <c r="V440" t="s">
        <v>147</v>
      </c>
      <c r="W440" s="37" t="s">
        <v>256</v>
      </c>
      <c r="X440" t="s">
        <v>149</v>
      </c>
      <c r="Y440">
        <v>0</v>
      </c>
    </row>
    <row r="441" spans="1:25" x14ac:dyDescent="0.25">
      <c r="A441" t="s">
        <v>191</v>
      </c>
      <c r="B441">
        <v>3003</v>
      </c>
      <c r="C441">
        <v>0</v>
      </c>
      <c r="D441" t="s">
        <v>144</v>
      </c>
      <c r="E441" t="s">
        <v>145</v>
      </c>
      <c r="F441" s="16">
        <v>500</v>
      </c>
      <c r="G441" s="15">
        <v>0</v>
      </c>
      <c r="H441" s="15">
        <v>1</v>
      </c>
      <c r="I441" s="24">
        <v>0</v>
      </c>
      <c r="J441">
        <v>0</v>
      </c>
      <c r="K441">
        <v>0</v>
      </c>
      <c r="L441">
        <v>0</v>
      </c>
      <c r="M441">
        <v>0</v>
      </c>
      <c r="N441" s="16">
        <v>0</v>
      </c>
      <c r="O441">
        <v>0</v>
      </c>
      <c r="P441">
        <v>0</v>
      </c>
      <c r="Q441">
        <v>0</v>
      </c>
      <c r="R441">
        <v>0</v>
      </c>
      <c r="S441" s="21">
        <v>0</v>
      </c>
      <c r="T441" s="37">
        <v>0</v>
      </c>
      <c r="U441" t="s">
        <v>146</v>
      </c>
      <c r="V441" t="s">
        <v>147</v>
      </c>
      <c r="W441" s="37" t="s">
        <v>256</v>
      </c>
      <c r="X441" t="s">
        <v>149</v>
      </c>
      <c r="Y441">
        <v>0</v>
      </c>
    </row>
    <row r="442" spans="1:25" x14ac:dyDescent="0.25">
      <c r="A442" t="s">
        <v>191</v>
      </c>
      <c r="B442">
        <v>3003</v>
      </c>
      <c r="C442">
        <v>1</v>
      </c>
      <c r="D442" t="s">
        <v>144</v>
      </c>
      <c r="E442" s="37" t="s">
        <v>244</v>
      </c>
      <c r="F442" s="16">
        <v>1560</v>
      </c>
      <c r="G442" s="15">
        <f>I442/5</f>
        <v>39</v>
      </c>
      <c r="H442" s="15">
        <v>1</v>
      </c>
      <c r="I442" s="24">
        <v>195</v>
      </c>
      <c r="J442">
        <v>0</v>
      </c>
      <c r="K442">
        <v>3</v>
      </c>
      <c r="L442">
        <v>1</v>
      </c>
      <c r="M442">
        <v>0</v>
      </c>
      <c r="N442" s="16">
        <v>0</v>
      </c>
      <c r="O442">
        <v>800</v>
      </c>
      <c r="P442">
        <v>800</v>
      </c>
      <c r="Q442">
        <v>0</v>
      </c>
      <c r="R442">
        <v>0</v>
      </c>
      <c r="S442" s="21">
        <v>28800</v>
      </c>
      <c r="T442" s="37">
        <v>0</v>
      </c>
      <c r="U442" t="s">
        <v>146</v>
      </c>
      <c r="V442" t="s">
        <v>147</v>
      </c>
      <c r="W442" s="37" t="s">
        <v>256</v>
      </c>
      <c r="X442" t="s">
        <v>149</v>
      </c>
      <c r="Y442">
        <v>0</v>
      </c>
    </row>
    <row r="443" spans="1:25" x14ac:dyDescent="0.25">
      <c r="A443" t="s">
        <v>192</v>
      </c>
      <c r="B443">
        <v>3004</v>
      </c>
      <c r="C443">
        <v>0</v>
      </c>
      <c r="D443" t="s">
        <v>144</v>
      </c>
      <c r="E443" t="s">
        <v>145</v>
      </c>
      <c r="F443" s="16">
        <v>500</v>
      </c>
      <c r="G443" s="15">
        <v>0</v>
      </c>
      <c r="H443" s="15">
        <v>1</v>
      </c>
      <c r="I443" s="24">
        <v>0</v>
      </c>
      <c r="J443">
        <v>0</v>
      </c>
      <c r="K443">
        <v>0</v>
      </c>
      <c r="L443">
        <v>0</v>
      </c>
      <c r="M443">
        <v>0</v>
      </c>
      <c r="N443" s="16">
        <v>0</v>
      </c>
      <c r="O443">
        <v>0</v>
      </c>
      <c r="P443">
        <v>0</v>
      </c>
      <c r="Q443">
        <v>0</v>
      </c>
      <c r="R443">
        <v>0</v>
      </c>
      <c r="S443" s="21">
        <v>0</v>
      </c>
      <c r="T443" s="37">
        <v>0</v>
      </c>
      <c r="U443" t="s">
        <v>146</v>
      </c>
      <c r="V443" t="s">
        <v>147</v>
      </c>
      <c r="W443" s="37" t="s">
        <v>256</v>
      </c>
      <c r="X443" t="s">
        <v>149</v>
      </c>
      <c r="Y443">
        <v>0</v>
      </c>
    </row>
    <row r="444" spans="1:25" x14ac:dyDescent="0.25">
      <c r="A444" t="s">
        <v>192</v>
      </c>
      <c r="B444">
        <v>3004</v>
      </c>
      <c r="C444">
        <v>1</v>
      </c>
      <c r="D444" t="s">
        <v>144</v>
      </c>
      <c r="E444" s="37" t="s">
        <v>245</v>
      </c>
      <c r="F444" s="16">
        <v>3000</v>
      </c>
      <c r="G444" s="15">
        <f>I444/5</f>
        <v>75</v>
      </c>
      <c r="H444" s="15">
        <v>1</v>
      </c>
      <c r="I444" s="24">
        <v>375</v>
      </c>
      <c r="J444">
        <v>0</v>
      </c>
      <c r="K444">
        <v>3</v>
      </c>
      <c r="L444">
        <v>1</v>
      </c>
      <c r="M444">
        <v>0</v>
      </c>
      <c r="N444" s="16">
        <v>400</v>
      </c>
      <c r="O444">
        <v>2400</v>
      </c>
      <c r="P444">
        <v>2400</v>
      </c>
      <c r="Q444">
        <v>0</v>
      </c>
      <c r="R444">
        <v>0</v>
      </c>
      <c r="S444" s="21">
        <v>43200</v>
      </c>
      <c r="T444" s="37">
        <v>0</v>
      </c>
      <c r="U444" t="s">
        <v>146</v>
      </c>
      <c r="V444" t="s">
        <v>147</v>
      </c>
      <c r="W444" s="37" t="s">
        <v>256</v>
      </c>
      <c r="X444" t="s">
        <v>149</v>
      </c>
      <c r="Y444">
        <v>0</v>
      </c>
    </row>
    <row r="445" spans="1:25" x14ac:dyDescent="0.25">
      <c r="A445" t="s">
        <v>193</v>
      </c>
      <c r="B445">
        <v>3005</v>
      </c>
      <c r="C445">
        <v>0</v>
      </c>
      <c r="D445" t="s">
        <v>144</v>
      </c>
      <c r="E445" t="s">
        <v>145</v>
      </c>
      <c r="F445" s="16">
        <v>500</v>
      </c>
      <c r="G445" s="15">
        <v>0</v>
      </c>
      <c r="H445" s="15">
        <v>1</v>
      </c>
      <c r="I445" s="24">
        <v>0</v>
      </c>
      <c r="J445">
        <v>0</v>
      </c>
      <c r="K445">
        <v>0</v>
      </c>
      <c r="L445">
        <v>0</v>
      </c>
      <c r="M445">
        <v>0</v>
      </c>
      <c r="N445" s="16">
        <v>0</v>
      </c>
      <c r="O445">
        <v>0</v>
      </c>
      <c r="P445">
        <v>0</v>
      </c>
      <c r="Q445">
        <v>0</v>
      </c>
      <c r="R445">
        <v>0</v>
      </c>
      <c r="S445" s="21">
        <v>0</v>
      </c>
      <c r="T445" s="37">
        <v>0</v>
      </c>
      <c r="U445" t="s">
        <v>146</v>
      </c>
      <c r="V445" t="s">
        <v>147</v>
      </c>
      <c r="W445" s="37" t="s">
        <v>256</v>
      </c>
      <c r="X445" t="s">
        <v>149</v>
      </c>
      <c r="Y445">
        <v>0</v>
      </c>
    </row>
    <row r="446" spans="1:25" x14ac:dyDescent="0.25">
      <c r="A446" t="s">
        <v>193</v>
      </c>
      <c r="B446">
        <v>3005</v>
      </c>
      <c r="C446">
        <v>1</v>
      </c>
      <c r="D446" t="s">
        <v>144</v>
      </c>
      <c r="E446" s="37" t="s">
        <v>246</v>
      </c>
      <c r="F446" s="16">
        <v>5760</v>
      </c>
      <c r="G446" s="37">
        <f>I446/5</f>
        <v>144</v>
      </c>
      <c r="H446">
        <v>1</v>
      </c>
      <c r="I446" s="24">
        <v>720</v>
      </c>
      <c r="J446">
        <v>0</v>
      </c>
      <c r="K446">
        <v>3</v>
      </c>
      <c r="L446">
        <v>1</v>
      </c>
      <c r="M446">
        <v>0</v>
      </c>
      <c r="N446" s="16">
        <v>1600</v>
      </c>
      <c r="O446">
        <v>9600</v>
      </c>
      <c r="P446">
        <v>9600</v>
      </c>
      <c r="Q446">
        <v>0</v>
      </c>
      <c r="R446">
        <v>0</v>
      </c>
      <c r="S446" s="21">
        <v>86400</v>
      </c>
      <c r="T446" s="37">
        <v>0</v>
      </c>
      <c r="U446" t="s">
        <v>146</v>
      </c>
      <c r="V446" t="s">
        <v>147</v>
      </c>
      <c r="W446" s="37" t="s">
        <v>256</v>
      </c>
      <c r="X446" t="s">
        <v>149</v>
      </c>
      <c r="Y446">
        <v>0</v>
      </c>
    </row>
    <row r="447" spans="1:25" s="37" customFormat="1" x14ac:dyDescent="0.25">
      <c r="F447" s="16"/>
      <c r="I447" s="24"/>
      <c r="N447" s="16"/>
      <c r="S447" s="21"/>
    </row>
    <row r="448" spans="1:25" s="37" customFormat="1" x14ac:dyDescent="0.25">
      <c r="A448" s="37" t="s">
        <v>255</v>
      </c>
      <c r="B448" s="37">
        <v>3008</v>
      </c>
      <c r="C448" s="37">
        <v>0</v>
      </c>
      <c r="D448" s="37" t="s">
        <v>144</v>
      </c>
      <c r="E448" s="37" t="s">
        <v>145</v>
      </c>
      <c r="F448" s="16">
        <v>500</v>
      </c>
      <c r="G448" s="37">
        <v>0</v>
      </c>
      <c r="H448" s="37">
        <v>0</v>
      </c>
      <c r="I448" s="24">
        <v>0</v>
      </c>
      <c r="J448" s="37">
        <v>0</v>
      </c>
      <c r="K448" s="37">
        <v>0</v>
      </c>
      <c r="L448" s="37">
        <v>0</v>
      </c>
      <c r="M448" s="37">
        <v>0</v>
      </c>
      <c r="N448" s="16">
        <v>0</v>
      </c>
      <c r="O448" s="37">
        <v>0</v>
      </c>
      <c r="P448" s="37">
        <v>0</v>
      </c>
      <c r="Q448" s="37">
        <v>0</v>
      </c>
      <c r="R448" s="37">
        <v>0</v>
      </c>
      <c r="S448" s="21">
        <v>0</v>
      </c>
      <c r="T448" s="37">
        <v>0</v>
      </c>
      <c r="U448" s="37" t="s">
        <v>146</v>
      </c>
      <c r="V448" s="37" t="s">
        <v>147</v>
      </c>
      <c r="W448" s="37" t="s">
        <v>256</v>
      </c>
      <c r="X448" s="37" t="s">
        <v>149</v>
      </c>
      <c r="Y448" s="37">
        <v>0</v>
      </c>
    </row>
    <row r="449" spans="1:25" s="37" customFormat="1" x14ac:dyDescent="0.25">
      <c r="A449" s="37" t="s">
        <v>255</v>
      </c>
      <c r="B449" s="37">
        <v>3008</v>
      </c>
      <c r="C449" s="37">
        <v>1</v>
      </c>
      <c r="D449" s="37" t="s">
        <v>144</v>
      </c>
      <c r="E449" s="37" t="s">
        <v>249</v>
      </c>
      <c r="F449" s="16">
        <v>500</v>
      </c>
      <c r="G449" s="37">
        <f>I449/5</f>
        <v>20</v>
      </c>
      <c r="H449" s="37">
        <v>0</v>
      </c>
      <c r="I449" s="24">
        <v>100</v>
      </c>
      <c r="J449" s="37">
        <v>0</v>
      </c>
      <c r="K449" s="37">
        <v>4</v>
      </c>
      <c r="L449" s="37">
        <v>1</v>
      </c>
      <c r="M449" s="37">
        <v>0</v>
      </c>
      <c r="N449" s="16">
        <v>0</v>
      </c>
      <c r="O449" s="37">
        <v>0</v>
      </c>
      <c r="P449" s="37">
        <v>0</v>
      </c>
      <c r="Q449" s="37">
        <v>0</v>
      </c>
      <c r="R449" s="37">
        <v>0</v>
      </c>
      <c r="S449" s="21">
        <v>0</v>
      </c>
      <c r="T449" s="37">
        <v>0</v>
      </c>
      <c r="U449" s="37" t="s">
        <v>146</v>
      </c>
      <c r="V449" s="37" t="s">
        <v>147</v>
      </c>
      <c r="W449" s="37" t="s">
        <v>256</v>
      </c>
      <c r="X449" s="37" t="s">
        <v>149</v>
      </c>
      <c r="Y449" s="37">
        <v>0</v>
      </c>
    </row>
    <row r="451" spans="1:25" s="37" customFormat="1" x14ac:dyDescent="0.25">
      <c r="A451" s="37" t="s">
        <v>251</v>
      </c>
      <c r="B451" s="37">
        <v>3009</v>
      </c>
      <c r="C451" s="37">
        <v>0</v>
      </c>
      <c r="D451" s="37" t="s">
        <v>144</v>
      </c>
      <c r="E451" s="37" t="s">
        <v>145</v>
      </c>
      <c r="F451" s="16">
        <v>500</v>
      </c>
      <c r="G451" s="37">
        <v>0</v>
      </c>
      <c r="H451" s="37">
        <v>0</v>
      </c>
      <c r="I451" s="24">
        <v>0</v>
      </c>
      <c r="J451" s="37">
        <v>0</v>
      </c>
      <c r="K451" s="37">
        <v>0</v>
      </c>
      <c r="L451" s="37">
        <v>0</v>
      </c>
      <c r="M451" s="37">
        <v>0</v>
      </c>
      <c r="N451" s="16">
        <v>0</v>
      </c>
      <c r="O451" s="37">
        <v>0</v>
      </c>
      <c r="P451" s="37">
        <v>0</v>
      </c>
      <c r="Q451" s="37">
        <v>0</v>
      </c>
      <c r="R451" s="37">
        <v>0</v>
      </c>
      <c r="S451" s="21">
        <v>0</v>
      </c>
      <c r="T451" s="37">
        <v>0</v>
      </c>
      <c r="U451" s="37" t="s">
        <v>146</v>
      </c>
      <c r="V451" s="37" t="s">
        <v>147</v>
      </c>
      <c r="W451" s="37" t="s">
        <v>256</v>
      </c>
      <c r="X451" s="37" t="s">
        <v>149</v>
      </c>
      <c r="Y451" s="37">
        <v>0</v>
      </c>
    </row>
    <row r="452" spans="1:25" s="37" customFormat="1" x14ac:dyDescent="0.25">
      <c r="A452" s="37" t="s">
        <v>251</v>
      </c>
      <c r="B452" s="37">
        <v>3009</v>
      </c>
      <c r="C452" s="37">
        <v>1</v>
      </c>
      <c r="D452" s="37" t="s">
        <v>144</v>
      </c>
      <c r="E452" s="37" t="s">
        <v>249</v>
      </c>
      <c r="F452" s="16">
        <v>500</v>
      </c>
      <c r="G452" s="37">
        <f>I452/5</f>
        <v>20</v>
      </c>
      <c r="H452" s="37">
        <v>0</v>
      </c>
      <c r="I452" s="24">
        <v>100</v>
      </c>
      <c r="J452" s="37">
        <v>0</v>
      </c>
      <c r="K452" s="37">
        <v>4</v>
      </c>
      <c r="L452" s="37">
        <v>1</v>
      </c>
      <c r="M452" s="37">
        <v>0</v>
      </c>
      <c r="N452" s="16">
        <v>0</v>
      </c>
      <c r="O452" s="37">
        <v>0</v>
      </c>
      <c r="P452" s="37">
        <v>0</v>
      </c>
      <c r="Q452" s="37">
        <v>0</v>
      </c>
      <c r="R452" s="37">
        <v>0</v>
      </c>
      <c r="S452" s="21">
        <v>0</v>
      </c>
      <c r="T452" s="37">
        <v>0</v>
      </c>
      <c r="U452" s="37" t="s">
        <v>146</v>
      </c>
      <c r="V452" s="37" t="s">
        <v>147</v>
      </c>
      <c r="W452" s="37" t="s">
        <v>256</v>
      </c>
      <c r="X452" s="37" t="s">
        <v>149</v>
      </c>
      <c r="Y452" s="37">
        <v>0</v>
      </c>
    </row>
    <row r="453" spans="1:25" s="37" customFormat="1" x14ac:dyDescent="0.25">
      <c r="F453" s="16"/>
      <c r="I453" s="24"/>
      <c r="N453" s="16"/>
      <c r="S453" s="21"/>
    </row>
    <row r="454" spans="1:25" s="37" customFormat="1" x14ac:dyDescent="0.25">
      <c r="A454" s="37" t="s">
        <v>248</v>
      </c>
      <c r="B454" s="37">
        <v>3010</v>
      </c>
      <c r="C454" s="37">
        <v>0</v>
      </c>
      <c r="D454" s="37" t="s">
        <v>144</v>
      </c>
      <c r="E454" s="37" t="s">
        <v>145</v>
      </c>
      <c r="F454" s="16">
        <v>500</v>
      </c>
      <c r="G454" s="37">
        <v>0</v>
      </c>
      <c r="H454" s="37">
        <v>0</v>
      </c>
      <c r="I454" s="24">
        <v>0</v>
      </c>
      <c r="J454" s="37">
        <v>0</v>
      </c>
      <c r="K454" s="37">
        <v>0</v>
      </c>
      <c r="L454" s="37">
        <v>0</v>
      </c>
      <c r="M454" s="37">
        <v>0</v>
      </c>
      <c r="N454" s="16">
        <v>0</v>
      </c>
      <c r="O454" s="37">
        <v>0</v>
      </c>
      <c r="P454" s="37">
        <v>0</v>
      </c>
      <c r="Q454" s="37">
        <v>0</v>
      </c>
      <c r="R454" s="37">
        <v>0</v>
      </c>
      <c r="S454" s="21">
        <v>0</v>
      </c>
      <c r="T454" s="37">
        <v>0</v>
      </c>
      <c r="U454" s="37" t="s">
        <v>146</v>
      </c>
      <c r="V454" s="37" t="s">
        <v>147</v>
      </c>
      <c r="W454" s="37" t="s">
        <v>256</v>
      </c>
      <c r="X454" s="37" t="s">
        <v>149</v>
      </c>
      <c r="Y454" s="37">
        <v>0</v>
      </c>
    </row>
    <row r="455" spans="1:25" s="37" customFormat="1" x14ac:dyDescent="0.25">
      <c r="A455" s="37" t="s">
        <v>248</v>
      </c>
      <c r="B455" s="37">
        <v>3010</v>
      </c>
      <c r="C455" s="37">
        <v>1</v>
      </c>
      <c r="D455" s="37" t="s">
        <v>144</v>
      </c>
      <c r="E455" s="37" t="s">
        <v>249</v>
      </c>
      <c r="F455" s="16">
        <v>500</v>
      </c>
      <c r="G455" s="37">
        <f>I455/5</f>
        <v>20</v>
      </c>
      <c r="H455" s="37">
        <v>0</v>
      </c>
      <c r="I455" s="24">
        <v>100</v>
      </c>
      <c r="J455" s="37">
        <v>0</v>
      </c>
      <c r="K455" s="37">
        <v>4</v>
      </c>
      <c r="L455" s="37">
        <v>1</v>
      </c>
      <c r="M455" s="37">
        <v>0</v>
      </c>
      <c r="N455" s="16">
        <v>0</v>
      </c>
      <c r="O455" s="37">
        <v>0</v>
      </c>
      <c r="P455" s="37">
        <v>0</v>
      </c>
      <c r="Q455" s="37">
        <v>0</v>
      </c>
      <c r="R455" s="37">
        <v>0</v>
      </c>
      <c r="S455" s="21">
        <v>0</v>
      </c>
      <c r="T455" s="37">
        <v>0</v>
      </c>
      <c r="U455" s="37" t="s">
        <v>146</v>
      </c>
      <c r="V455" s="37" t="s">
        <v>147</v>
      </c>
      <c r="W455" s="37" t="s">
        <v>256</v>
      </c>
      <c r="X455" s="37" t="s">
        <v>149</v>
      </c>
      <c r="Y455" s="37">
        <v>0</v>
      </c>
    </row>
    <row r="456" spans="1:25" s="37" customFormat="1" ht="14.25" customHeight="1" x14ac:dyDescent="0.25">
      <c r="F456" s="16"/>
      <c r="I456" s="24"/>
      <c r="L456" s="15"/>
      <c r="M456" s="21"/>
      <c r="N456" s="34"/>
      <c r="O456" s="11"/>
      <c r="S456" s="21"/>
    </row>
    <row r="457" spans="1:25" s="37" customFormat="1" x14ac:dyDescent="0.25">
      <c r="A457" s="37" t="s">
        <v>247</v>
      </c>
      <c r="B457" s="37">
        <v>3011</v>
      </c>
      <c r="C457" s="37">
        <v>0</v>
      </c>
      <c r="D457" s="37" t="s">
        <v>144</v>
      </c>
      <c r="E457" s="37" t="s">
        <v>145</v>
      </c>
      <c r="F457" s="16">
        <v>500</v>
      </c>
      <c r="G457" s="37">
        <v>0</v>
      </c>
      <c r="H457" s="37">
        <v>0</v>
      </c>
      <c r="I457" s="24">
        <v>0</v>
      </c>
      <c r="J457" s="37">
        <v>0</v>
      </c>
      <c r="K457" s="37">
        <v>0</v>
      </c>
      <c r="L457" s="37">
        <v>0</v>
      </c>
      <c r="M457" s="37">
        <v>0</v>
      </c>
      <c r="N457" s="16">
        <v>0</v>
      </c>
      <c r="O457" s="37">
        <v>0</v>
      </c>
      <c r="P457" s="37">
        <v>0</v>
      </c>
      <c r="Q457" s="37">
        <v>0</v>
      </c>
      <c r="R457" s="37">
        <v>0</v>
      </c>
      <c r="S457" s="21">
        <v>0</v>
      </c>
      <c r="T457" s="37">
        <v>0</v>
      </c>
      <c r="U457" s="37" t="s">
        <v>146</v>
      </c>
      <c r="V457" s="37" t="s">
        <v>147</v>
      </c>
      <c r="W457" s="37" t="s">
        <v>256</v>
      </c>
      <c r="X457" s="37" t="s">
        <v>254</v>
      </c>
      <c r="Y457" s="37">
        <v>0</v>
      </c>
    </row>
    <row r="458" spans="1:25" s="37" customFormat="1" x14ac:dyDescent="0.25">
      <c r="A458" s="37" t="s">
        <v>247</v>
      </c>
      <c r="B458" s="37">
        <v>3011</v>
      </c>
      <c r="C458" s="37">
        <v>1</v>
      </c>
      <c r="D458" s="37" t="s">
        <v>144</v>
      </c>
      <c r="E458" s="37" t="s">
        <v>252</v>
      </c>
      <c r="F458" s="16">
        <v>1000</v>
      </c>
      <c r="G458" s="37">
        <f>9+C458</f>
        <v>10</v>
      </c>
      <c r="H458" s="37">
        <v>2</v>
      </c>
      <c r="I458" s="24">
        <v>0</v>
      </c>
      <c r="J458" s="37">
        <v>0</v>
      </c>
      <c r="K458" s="37">
        <v>3</v>
      </c>
      <c r="L458" s="37">
        <f t="shared" ref="L458:L472" si="213">VLOOKUP($C$421,$C$4:$M$9,10,FALSE)</f>
        <v>1</v>
      </c>
      <c r="M458" s="37">
        <v>0</v>
      </c>
      <c r="N458" s="16">
        <v>0</v>
      </c>
      <c r="O458" s="3">
        <v>10</v>
      </c>
      <c r="P458" s="3">
        <v>20</v>
      </c>
      <c r="Q458" s="37">
        <v>0</v>
      </c>
      <c r="R458" s="37">
        <v>2</v>
      </c>
      <c r="S458" s="36">
        <v>600</v>
      </c>
      <c r="T458" s="37">
        <v>0</v>
      </c>
      <c r="U458" s="37" t="s">
        <v>146</v>
      </c>
      <c r="V458" s="37" t="s">
        <v>147</v>
      </c>
      <c r="W458" s="37" t="s">
        <v>256</v>
      </c>
      <c r="X458" s="37" t="s">
        <v>254</v>
      </c>
      <c r="Y458" s="37">
        <v>0</v>
      </c>
    </row>
    <row r="459" spans="1:25" s="37" customFormat="1" x14ac:dyDescent="0.25">
      <c r="A459" s="37" t="s">
        <v>247</v>
      </c>
      <c r="B459" s="37">
        <v>3011</v>
      </c>
      <c r="C459" s="37">
        <v>2</v>
      </c>
      <c r="D459" s="37" t="s">
        <v>144</v>
      </c>
      <c r="E459" s="37" t="s">
        <v>252</v>
      </c>
      <c r="F459" s="16">
        <v>1000</v>
      </c>
      <c r="G459" s="37">
        <f t="shared" ref="G459:G472" si="214">9+C459</f>
        <v>11</v>
      </c>
      <c r="H459" s="37">
        <v>2</v>
      </c>
      <c r="I459" s="24">
        <v>0</v>
      </c>
      <c r="J459" s="37">
        <v>0</v>
      </c>
      <c r="K459" s="37">
        <v>3</v>
      </c>
      <c r="L459" s="37">
        <f t="shared" si="213"/>
        <v>1</v>
      </c>
      <c r="M459" s="37">
        <v>0</v>
      </c>
      <c r="N459" s="16">
        <v>0</v>
      </c>
      <c r="O459" s="3">
        <v>17</v>
      </c>
      <c r="P459" s="3">
        <v>34</v>
      </c>
      <c r="Q459" s="37">
        <v>0</v>
      </c>
      <c r="R459" s="37">
        <v>2</v>
      </c>
      <c r="S459" s="36">
        <v>600</v>
      </c>
      <c r="T459" s="37">
        <v>0</v>
      </c>
      <c r="U459" s="37" t="s">
        <v>146</v>
      </c>
      <c r="V459" s="37" t="s">
        <v>147</v>
      </c>
      <c r="W459" s="37" t="s">
        <v>256</v>
      </c>
      <c r="X459" s="37" t="s">
        <v>254</v>
      </c>
      <c r="Y459" s="37">
        <v>0</v>
      </c>
    </row>
    <row r="460" spans="1:25" s="37" customFormat="1" x14ac:dyDescent="0.25">
      <c r="A460" s="37" t="s">
        <v>247</v>
      </c>
      <c r="B460" s="37">
        <v>3011</v>
      </c>
      <c r="C460" s="37">
        <v>3</v>
      </c>
      <c r="D460" s="37" t="s">
        <v>144</v>
      </c>
      <c r="E460" s="37" t="s">
        <v>252</v>
      </c>
      <c r="F460" s="16">
        <v>1000</v>
      </c>
      <c r="G460" s="37">
        <f t="shared" si="214"/>
        <v>12</v>
      </c>
      <c r="H460" s="37">
        <v>2</v>
      </c>
      <c r="I460" s="24">
        <v>0</v>
      </c>
      <c r="J460" s="37">
        <v>0</v>
      </c>
      <c r="K460" s="37">
        <v>3</v>
      </c>
      <c r="L460" s="37">
        <f t="shared" si="213"/>
        <v>1</v>
      </c>
      <c r="M460" s="37">
        <v>0</v>
      </c>
      <c r="N460" s="16">
        <v>0</v>
      </c>
      <c r="O460" s="3">
        <v>24</v>
      </c>
      <c r="P460" s="3">
        <v>48</v>
      </c>
      <c r="Q460" s="37">
        <v>0</v>
      </c>
      <c r="R460" s="37">
        <v>2</v>
      </c>
      <c r="S460" s="36">
        <v>600</v>
      </c>
      <c r="T460" s="37">
        <v>0</v>
      </c>
      <c r="U460" s="37" t="s">
        <v>146</v>
      </c>
      <c r="V460" s="37" t="s">
        <v>147</v>
      </c>
      <c r="W460" s="37" t="s">
        <v>256</v>
      </c>
      <c r="X460" s="37" t="s">
        <v>254</v>
      </c>
      <c r="Y460" s="37">
        <v>0</v>
      </c>
    </row>
    <row r="461" spans="1:25" s="37" customFormat="1" x14ac:dyDescent="0.25">
      <c r="A461" s="37" t="s">
        <v>247</v>
      </c>
      <c r="B461" s="37">
        <v>3011</v>
      </c>
      <c r="C461" s="37">
        <v>4</v>
      </c>
      <c r="D461" s="37" t="s">
        <v>144</v>
      </c>
      <c r="E461" s="37" t="s">
        <v>252</v>
      </c>
      <c r="F461" s="16">
        <v>1000</v>
      </c>
      <c r="G461" s="37">
        <f t="shared" si="214"/>
        <v>13</v>
      </c>
      <c r="H461" s="37">
        <v>2</v>
      </c>
      <c r="I461" s="24">
        <v>0</v>
      </c>
      <c r="J461" s="37">
        <v>0</v>
      </c>
      <c r="K461" s="37">
        <v>3</v>
      </c>
      <c r="L461" s="37">
        <f t="shared" si="213"/>
        <v>1</v>
      </c>
      <c r="M461" s="37">
        <v>0</v>
      </c>
      <c r="N461" s="16">
        <v>0</v>
      </c>
      <c r="O461" s="3">
        <v>31</v>
      </c>
      <c r="P461" s="3">
        <v>62</v>
      </c>
      <c r="Q461" s="37">
        <v>0</v>
      </c>
      <c r="R461" s="12">
        <v>2</v>
      </c>
      <c r="S461" s="36">
        <v>600</v>
      </c>
      <c r="T461" s="37">
        <v>0</v>
      </c>
      <c r="U461" s="37" t="s">
        <v>146</v>
      </c>
      <c r="V461" s="37" t="s">
        <v>147</v>
      </c>
      <c r="W461" s="37" t="s">
        <v>256</v>
      </c>
      <c r="X461" s="37" t="s">
        <v>254</v>
      </c>
      <c r="Y461" s="37">
        <v>0</v>
      </c>
    </row>
    <row r="462" spans="1:25" s="37" customFormat="1" x14ac:dyDescent="0.25">
      <c r="A462" s="37" t="s">
        <v>247</v>
      </c>
      <c r="B462" s="37">
        <v>3011</v>
      </c>
      <c r="C462" s="37">
        <v>5</v>
      </c>
      <c r="D462" s="37" t="s">
        <v>144</v>
      </c>
      <c r="E462" s="37" t="s">
        <v>252</v>
      </c>
      <c r="F462" s="16">
        <v>1000</v>
      </c>
      <c r="G462" s="37">
        <f t="shared" si="214"/>
        <v>14</v>
      </c>
      <c r="H462" s="37">
        <v>2</v>
      </c>
      <c r="I462" s="24">
        <v>0</v>
      </c>
      <c r="J462" s="37">
        <v>0</v>
      </c>
      <c r="K462" s="37">
        <v>3</v>
      </c>
      <c r="L462" s="37">
        <f t="shared" si="213"/>
        <v>1</v>
      </c>
      <c r="M462" s="37">
        <v>0</v>
      </c>
      <c r="N462" s="16">
        <v>0</v>
      </c>
      <c r="O462" s="3">
        <v>38.5</v>
      </c>
      <c r="P462" s="3">
        <v>77</v>
      </c>
      <c r="Q462" s="37">
        <v>0</v>
      </c>
      <c r="R462" s="37">
        <v>1</v>
      </c>
      <c r="S462" s="36">
        <v>600</v>
      </c>
      <c r="T462" s="37">
        <v>0</v>
      </c>
      <c r="U462" s="37" t="s">
        <v>146</v>
      </c>
      <c r="V462" s="37" t="s">
        <v>147</v>
      </c>
      <c r="W462" s="37" t="s">
        <v>256</v>
      </c>
      <c r="X462" s="37" t="s">
        <v>254</v>
      </c>
      <c r="Y462" s="37">
        <v>0</v>
      </c>
    </row>
    <row r="463" spans="1:25" s="37" customFormat="1" x14ac:dyDescent="0.25">
      <c r="A463" s="37" t="s">
        <v>247</v>
      </c>
      <c r="B463" s="37">
        <v>3011</v>
      </c>
      <c r="C463" s="37">
        <v>6</v>
      </c>
      <c r="D463" s="37" t="s">
        <v>144</v>
      </c>
      <c r="E463" s="37" t="s">
        <v>252</v>
      </c>
      <c r="F463" s="16">
        <v>1000</v>
      </c>
      <c r="G463" s="37">
        <f t="shared" si="214"/>
        <v>15</v>
      </c>
      <c r="H463" s="37">
        <v>2</v>
      </c>
      <c r="I463" s="24">
        <v>0</v>
      </c>
      <c r="J463" s="37">
        <v>0</v>
      </c>
      <c r="K463" s="37">
        <v>3</v>
      </c>
      <c r="L463" s="37">
        <f t="shared" si="213"/>
        <v>1</v>
      </c>
      <c r="M463" s="37">
        <v>0</v>
      </c>
      <c r="N463" s="16">
        <v>0</v>
      </c>
      <c r="O463" s="3">
        <v>46</v>
      </c>
      <c r="P463" s="3">
        <v>92</v>
      </c>
      <c r="Q463" s="37">
        <v>0</v>
      </c>
      <c r="R463" s="37">
        <v>1</v>
      </c>
      <c r="S463" s="36">
        <v>600</v>
      </c>
      <c r="T463" s="37">
        <v>0</v>
      </c>
      <c r="U463" s="37" t="s">
        <v>146</v>
      </c>
      <c r="V463" s="37" t="s">
        <v>147</v>
      </c>
      <c r="W463" s="37" t="s">
        <v>256</v>
      </c>
      <c r="X463" s="37" t="s">
        <v>254</v>
      </c>
      <c r="Y463" s="37">
        <v>0</v>
      </c>
    </row>
    <row r="464" spans="1:25" s="37" customFormat="1" x14ac:dyDescent="0.25">
      <c r="A464" s="37" t="s">
        <v>247</v>
      </c>
      <c r="B464" s="37">
        <v>3011</v>
      </c>
      <c r="C464" s="37">
        <v>7</v>
      </c>
      <c r="D464" s="37" t="s">
        <v>144</v>
      </c>
      <c r="E464" s="37" t="s">
        <v>252</v>
      </c>
      <c r="F464" s="16">
        <v>1000</v>
      </c>
      <c r="G464" s="37">
        <f t="shared" si="214"/>
        <v>16</v>
      </c>
      <c r="H464" s="37">
        <v>2</v>
      </c>
      <c r="I464" s="24">
        <v>0</v>
      </c>
      <c r="J464" s="37">
        <v>0</v>
      </c>
      <c r="K464" s="37">
        <v>3</v>
      </c>
      <c r="L464" s="37">
        <f t="shared" si="213"/>
        <v>1</v>
      </c>
      <c r="M464" s="37">
        <v>0</v>
      </c>
      <c r="N464" s="16">
        <v>0</v>
      </c>
      <c r="O464" s="3">
        <v>54</v>
      </c>
      <c r="P464" s="3">
        <v>108</v>
      </c>
      <c r="Q464" s="37">
        <v>0</v>
      </c>
      <c r="R464" s="37">
        <v>1</v>
      </c>
      <c r="S464" s="36">
        <v>600</v>
      </c>
      <c r="T464" s="37">
        <v>0</v>
      </c>
      <c r="U464" s="37" t="s">
        <v>146</v>
      </c>
      <c r="V464" s="37" t="s">
        <v>147</v>
      </c>
      <c r="W464" s="37" t="s">
        <v>256</v>
      </c>
      <c r="X464" s="37" t="s">
        <v>254</v>
      </c>
      <c r="Y464" s="37">
        <v>0</v>
      </c>
    </row>
    <row r="465" spans="1:25" s="37" customFormat="1" x14ac:dyDescent="0.25">
      <c r="A465" s="37" t="s">
        <v>247</v>
      </c>
      <c r="B465" s="37">
        <v>3011</v>
      </c>
      <c r="C465" s="37">
        <v>8</v>
      </c>
      <c r="D465" s="37" t="s">
        <v>144</v>
      </c>
      <c r="E465" s="37" t="s">
        <v>252</v>
      </c>
      <c r="F465" s="16">
        <v>1000</v>
      </c>
      <c r="G465" s="37">
        <f t="shared" si="214"/>
        <v>17</v>
      </c>
      <c r="H465" s="37">
        <v>2</v>
      </c>
      <c r="I465" s="24">
        <v>0</v>
      </c>
      <c r="J465" s="37">
        <v>0</v>
      </c>
      <c r="K465" s="37">
        <v>3</v>
      </c>
      <c r="L465" s="37">
        <f t="shared" si="213"/>
        <v>1</v>
      </c>
      <c r="M465" s="37">
        <v>0</v>
      </c>
      <c r="N465" s="16">
        <v>0</v>
      </c>
      <c r="O465" s="3">
        <v>62</v>
      </c>
      <c r="P465" s="3">
        <v>124</v>
      </c>
      <c r="Q465" s="37">
        <v>0</v>
      </c>
      <c r="R465" s="37">
        <v>1</v>
      </c>
      <c r="S465" s="36">
        <v>600</v>
      </c>
      <c r="T465" s="37">
        <v>0</v>
      </c>
      <c r="U465" s="37" t="s">
        <v>146</v>
      </c>
      <c r="V465" s="37" t="s">
        <v>147</v>
      </c>
      <c r="W465" s="37" t="s">
        <v>256</v>
      </c>
      <c r="X465" s="37" t="s">
        <v>254</v>
      </c>
      <c r="Y465" s="37">
        <v>0</v>
      </c>
    </row>
    <row r="466" spans="1:25" s="37" customFormat="1" x14ac:dyDescent="0.25">
      <c r="A466" s="37" t="s">
        <v>247</v>
      </c>
      <c r="B466" s="37">
        <v>3011</v>
      </c>
      <c r="C466" s="37">
        <v>9</v>
      </c>
      <c r="D466" s="37" t="s">
        <v>144</v>
      </c>
      <c r="E466" s="37" t="s">
        <v>252</v>
      </c>
      <c r="F466" s="16">
        <v>1000</v>
      </c>
      <c r="G466" s="37">
        <f t="shared" si="214"/>
        <v>18</v>
      </c>
      <c r="H466" s="37">
        <v>2</v>
      </c>
      <c r="I466" s="24">
        <v>0</v>
      </c>
      <c r="J466" s="37">
        <v>0</v>
      </c>
      <c r="K466" s="37">
        <v>3</v>
      </c>
      <c r="L466" s="37">
        <f t="shared" si="213"/>
        <v>1</v>
      </c>
      <c r="M466" s="37">
        <v>0</v>
      </c>
      <c r="N466" s="16">
        <v>0</v>
      </c>
      <c r="O466" s="3">
        <v>70</v>
      </c>
      <c r="P466" s="3">
        <v>140</v>
      </c>
      <c r="Q466" s="37">
        <v>0</v>
      </c>
      <c r="R466" s="37">
        <v>1</v>
      </c>
      <c r="S466" s="36">
        <v>600</v>
      </c>
      <c r="T466" s="37">
        <v>0</v>
      </c>
      <c r="U466" s="37" t="s">
        <v>146</v>
      </c>
      <c r="V466" s="37" t="s">
        <v>147</v>
      </c>
      <c r="W466" s="37" t="s">
        <v>256</v>
      </c>
      <c r="X466" s="37" t="s">
        <v>254</v>
      </c>
      <c r="Y466" s="37">
        <v>0</v>
      </c>
    </row>
    <row r="467" spans="1:25" s="37" customFormat="1" x14ac:dyDescent="0.25">
      <c r="A467" s="37" t="s">
        <v>247</v>
      </c>
      <c r="B467" s="37">
        <v>3011</v>
      </c>
      <c r="C467" s="37">
        <v>10</v>
      </c>
      <c r="D467" s="37" t="s">
        <v>144</v>
      </c>
      <c r="E467" s="37" t="s">
        <v>252</v>
      </c>
      <c r="F467" s="16">
        <v>1000</v>
      </c>
      <c r="G467" s="37">
        <f t="shared" si="214"/>
        <v>19</v>
      </c>
      <c r="H467" s="37">
        <v>2</v>
      </c>
      <c r="I467" s="24">
        <v>0</v>
      </c>
      <c r="J467" s="37">
        <v>0</v>
      </c>
      <c r="K467" s="37">
        <v>3</v>
      </c>
      <c r="L467" s="37">
        <f t="shared" si="213"/>
        <v>1</v>
      </c>
      <c r="M467" s="37">
        <v>0</v>
      </c>
      <c r="N467" s="16">
        <v>0</v>
      </c>
      <c r="O467" s="3">
        <v>78.5</v>
      </c>
      <c r="P467" s="3">
        <v>157</v>
      </c>
      <c r="Q467" s="37">
        <v>0</v>
      </c>
      <c r="R467" s="37">
        <v>0</v>
      </c>
      <c r="S467" s="36">
        <v>600</v>
      </c>
      <c r="T467" s="37">
        <v>0</v>
      </c>
      <c r="U467" s="37" t="s">
        <v>146</v>
      </c>
      <c r="V467" s="37" t="s">
        <v>147</v>
      </c>
      <c r="W467" s="37" t="s">
        <v>256</v>
      </c>
      <c r="X467" s="37" t="s">
        <v>254</v>
      </c>
      <c r="Y467" s="37">
        <v>0</v>
      </c>
    </row>
    <row r="468" spans="1:25" s="37" customFormat="1" x14ac:dyDescent="0.25">
      <c r="A468" s="37" t="s">
        <v>247</v>
      </c>
      <c r="B468" s="37">
        <v>3011</v>
      </c>
      <c r="C468" s="37">
        <v>11</v>
      </c>
      <c r="D468" s="37" t="s">
        <v>144</v>
      </c>
      <c r="E468" s="37" t="s">
        <v>252</v>
      </c>
      <c r="F468" s="16">
        <v>1000</v>
      </c>
      <c r="G468" s="37">
        <f t="shared" si="214"/>
        <v>20</v>
      </c>
      <c r="H468" s="37">
        <v>2</v>
      </c>
      <c r="I468" s="24">
        <v>0</v>
      </c>
      <c r="J468" s="37">
        <v>0</v>
      </c>
      <c r="K468" s="37">
        <v>3</v>
      </c>
      <c r="L468" s="37">
        <f t="shared" si="213"/>
        <v>1</v>
      </c>
      <c r="M468" s="37">
        <v>0</v>
      </c>
      <c r="N468" s="16">
        <v>0</v>
      </c>
      <c r="O468" s="3">
        <v>87</v>
      </c>
      <c r="P468" s="3">
        <v>174</v>
      </c>
      <c r="Q468" s="37">
        <v>0</v>
      </c>
      <c r="R468" s="37">
        <v>0</v>
      </c>
      <c r="S468" s="36">
        <v>600</v>
      </c>
      <c r="T468" s="37">
        <v>0</v>
      </c>
      <c r="U468" s="37" t="s">
        <v>146</v>
      </c>
      <c r="V468" s="37" t="s">
        <v>147</v>
      </c>
      <c r="W468" s="37" t="s">
        <v>256</v>
      </c>
      <c r="X468" s="37" t="s">
        <v>254</v>
      </c>
      <c r="Y468" s="37">
        <v>0</v>
      </c>
    </row>
    <row r="469" spans="1:25" s="37" customFormat="1" x14ac:dyDescent="0.25">
      <c r="A469" s="37" t="s">
        <v>247</v>
      </c>
      <c r="B469" s="37">
        <v>3011</v>
      </c>
      <c r="C469" s="37">
        <v>12</v>
      </c>
      <c r="D469" s="37" t="s">
        <v>144</v>
      </c>
      <c r="E469" s="37" t="s">
        <v>252</v>
      </c>
      <c r="F469" s="16">
        <v>1000</v>
      </c>
      <c r="G469" s="37">
        <f t="shared" si="214"/>
        <v>21</v>
      </c>
      <c r="H469" s="37">
        <v>2</v>
      </c>
      <c r="I469" s="24">
        <v>0</v>
      </c>
      <c r="J469" s="37">
        <v>0</v>
      </c>
      <c r="K469" s="37">
        <v>3</v>
      </c>
      <c r="L469" s="37">
        <f t="shared" si="213"/>
        <v>1</v>
      </c>
      <c r="M469" s="37">
        <v>0</v>
      </c>
      <c r="N469" s="16">
        <v>0</v>
      </c>
      <c r="O469" s="3">
        <v>96</v>
      </c>
      <c r="P469" s="3">
        <v>192</v>
      </c>
      <c r="Q469" s="37">
        <v>0</v>
      </c>
      <c r="R469" s="37">
        <v>0</v>
      </c>
      <c r="S469" s="36">
        <v>600</v>
      </c>
      <c r="T469" s="37">
        <v>0</v>
      </c>
      <c r="U469" s="37" t="s">
        <v>146</v>
      </c>
      <c r="V469" s="37" t="s">
        <v>147</v>
      </c>
      <c r="W469" s="37" t="s">
        <v>256</v>
      </c>
      <c r="X469" s="37" t="s">
        <v>254</v>
      </c>
      <c r="Y469" s="37">
        <v>0</v>
      </c>
    </row>
    <row r="470" spans="1:25" s="37" customFormat="1" x14ac:dyDescent="0.25">
      <c r="A470" s="37" t="s">
        <v>247</v>
      </c>
      <c r="B470" s="37">
        <v>3011</v>
      </c>
      <c r="C470" s="37">
        <v>13</v>
      </c>
      <c r="D470" s="37" t="s">
        <v>144</v>
      </c>
      <c r="E470" s="37" t="s">
        <v>252</v>
      </c>
      <c r="F470" s="16">
        <v>1000</v>
      </c>
      <c r="G470" s="37">
        <f t="shared" si="214"/>
        <v>22</v>
      </c>
      <c r="H470" s="37">
        <v>2</v>
      </c>
      <c r="I470" s="24">
        <v>0</v>
      </c>
      <c r="J470" s="37">
        <v>0</v>
      </c>
      <c r="K470" s="37">
        <v>3</v>
      </c>
      <c r="L470" s="37">
        <f t="shared" si="213"/>
        <v>1</v>
      </c>
      <c r="M470" s="37">
        <v>0</v>
      </c>
      <c r="N470" s="16">
        <v>0</v>
      </c>
      <c r="O470" s="3">
        <v>105</v>
      </c>
      <c r="P470" s="3">
        <v>210</v>
      </c>
      <c r="Q470" s="37">
        <v>0</v>
      </c>
      <c r="R470" s="37">
        <v>0</v>
      </c>
      <c r="S470" s="36">
        <v>600</v>
      </c>
      <c r="T470" s="37">
        <v>0</v>
      </c>
      <c r="U470" s="37" t="s">
        <v>146</v>
      </c>
      <c r="V470" s="37" t="s">
        <v>147</v>
      </c>
      <c r="W470" s="37" t="s">
        <v>256</v>
      </c>
      <c r="X470" s="37" t="s">
        <v>254</v>
      </c>
      <c r="Y470" s="37">
        <v>0</v>
      </c>
    </row>
    <row r="471" spans="1:25" s="37" customFormat="1" x14ac:dyDescent="0.25">
      <c r="A471" s="37" t="s">
        <v>247</v>
      </c>
      <c r="B471" s="37">
        <v>3011</v>
      </c>
      <c r="C471" s="37">
        <v>14</v>
      </c>
      <c r="D471" s="37" t="s">
        <v>144</v>
      </c>
      <c r="E471" s="37" t="s">
        <v>252</v>
      </c>
      <c r="F471" s="16">
        <v>1000</v>
      </c>
      <c r="G471" s="37">
        <f t="shared" si="214"/>
        <v>23</v>
      </c>
      <c r="H471" s="37">
        <v>2</v>
      </c>
      <c r="I471" s="24">
        <v>0</v>
      </c>
      <c r="J471" s="37">
        <v>0</v>
      </c>
      <c r="K471" s="37">
        <v>3</v>
      </c>
      <c r="L471" s="37">
        <f t="shared" si="213"/>
        <v>1</v>
      </c>
      <c r="M471" s="37">
        <v>0</v>
      </c>
      <c r="N471" s="16">
        <v>0</v>
      </c>
      <c r="O471" s="3">
        <v>114</v>
      </c>
      <c r="P471" s="3">
        <v>228</v>
      </c>
      <c r="Q471" s="37">
        <v>0</v>
      </c>
      <c r="R471" s="37">
        <v>0</v>
      </c>
      <c r="S471" s="36">
        <v>600</v>
      </c>
      <c r="T471" s="37">
        <v>0</v>
      </c>
      <c r="U471" s="37" t="s">
        <v>146</v>
      </c>
      <c r="V471" s="37" t="s">
        <v>147</v>
      </c>
      <c r="W471" s="37" t="s">
        <v>256</v>
      </c>
      <c r="X471" s="37" t="s">
        <v>254</v>
      </c>
      <c r="Y471" s="37">
        <v>0</v>
      </c>
    </row>
    <row r="472" spans="1:25" s="37" customFormat="1" x14ac:dyDescent="0.25">
      <c r="A472" s="37" t="s">
        <v>247</v>
      </c>
      <c r="B472" s="37">
        <v>3011</v>
      </c>
      <c r="C472" s="37">
        <v>15</v>
      </c>
      <c r="D472" s="37" t="s">
        <v>144</v>
      </c>
      <c r="E472" s="37" t="s">
        <v>252</v>
      </c>
      <c r="F472" s="16">
        <v>1000</v>
      </c>
      <c r="G472" s="37">
        <f t="shared" si="214"/>
        <v>24</v>
      </c>
      <c r="H472" s="37">
        <v>2</v>
      </c>
      <c r="I472" s="24">
        <v>0</v>
      </c>
      <c r="J472" s="37">
        <v>0</v>
      </c>
      <c r="K472" s="37">
        <v>3</v>
      </c>
      <c r="L472" s="37">
        <f t="shared" si="213"/>
        <v>1</v>
      </c>
      <c r="M472" s="37">
        <v>0</v>
      </c>
      <c r="N472" s="16">
        <v>0</v>
      </c>
      <c r="O472" s="3">
        <v>123.5</v>
      </c>
      <c r="P472" s="3">
        <v>247</v>
      </c>
      <c r="Q472" s="37">
        <v>0</v>
      </c>
      <c r="R472" s="37">
        <v>0</v>
      </c>
      <c r="S472" s="36">
        <v>600</v>
      </c>
      <c r="T472" s="37">
        <v>0</v>
      </c>
      <c r="U472" s="37" t="s">
        <v>146</v>
      </c>
      <c r="V472" s="37" t="s">
        <v>147</v>
      </c>
      <c r="W472" s="37" t="s">
        <v>256</v>
      </c>
      <c r="X472" s="37" t="s">
        <v>254</v>
      </c>
      <c r="Y472" s="37">
        <v>0</v>
      </c>
    </row>
    <row r="474" spans="1:25" s="37" customFormat="1" x14ac:dyDescent="0.25">
      <c r="A474" s="37" t="s">
        <v>250</v>
      </c>
      <c r="B474" s="37">
        <v>3012</v>
      </c>
      <c r="C474" s="37">
        <v>0</v>
      </c>
      <c r="D474" s="37" t="s">
        <v>144</v>
      </c>
      <c r="E474" s="37" t="s">
        <v>145</v>
      </c>
      <c r="F474" s="16">
        <v>500</v>
      </c>
      <c r="G474" s="37">
        <v>0</v>
      </c>
      <c r="H474" s="37">
        <v>0</v>
      </c>
      <c r="I474" s="24">
        <v>0</v>
      </c>
      <c r="J474" s="37">
        <v>0</v>
      </c>
      <c r="K474" s="37">
        <v>0</v>
      </c>
      <c r="L474" s="37">
        <v>0</v>
      </c>
      <c r="M474" s="37">
        <v>0</v>
      </c>
      <c r="N474" s="16">
        <v>0</v>
      </c>
      <c r="O474" s="37">
        <v>0</v>
      </c>
      <c r="P474" s="37">
        <v>0</v>
      </c>
      <c r="Q474" s="37">
        <v>0</v>
      </c>
      <c r="R474" s="37">
        <v>0</v>
      </c>
      <c r="S474" s="15">
        <v>0</v>
      </c>
      <c r="T474" s="16">
        <v>0</v>
      </c>
      <c r="U474" s="37" t="s">
        <v>146</v>
      </c>
      <c r="V474" s="37" t="s">
        <v>147</v>
      </c>
      <c r="W474" s="37" t="s">
        <v>256</v>
      </c>
      <c r="X474" s="37" t="s">
        <v>254</v>
      </c>
      <c r="Y474" s="37">
        <v>0</v>
      </c>
    </row>
    <row r="475" spans="1:25" s="37" customFormat="1" x14ac:dyDescent="0.25">
      <c r="A475" s="37" t="s">
        <v>250</v>
      </c>
      <c r="B475" s="37">
        <v>3012</v>
      </c>
      <c r="C475" s="37">
        <v>1</v>
      </c>
      <c r="D475" s="37" t="s">
        <v>144</v>
      </c>
      <c r="E475" s="37" t="s">
        <v>253</v>
      </c>
      <c r="F475" s="16">
        <v>1000</v>
      </c>
      <c r="G475" s="37">
        <f>9+C475</f>
        <v>10</v>
      </c>
      <c r="H475" s="37">
        <v>2</v>
      </c>
      <c r="I475" s="24">
        <v>0</v>
      </c>
      <c r="J475" s="37">
        <v>0</v>
      </c>
      <c r="K475" s="37">
        <v>3</v>
      </c>
      <c r="L475" s="37">
        <f t="shared" ref="L475:L489" si="215">VLOOKUP($C$421,$C$4:$M$9,10,FALSE)</f>
        <v>1</v>
      </c>
      <c r="M475" s="37">
        <v>0</v>
      </c>
      <c r="N475" s="16">
        <v>0</v>
      </c>
      <c r="O475" s="37">
        <v>0</v>
      </c>
      <c r="P475" s="37">
        <v>0</v>
      </c>
      <c r="Q475" s="37">
        <v>0</v>
      </c>
      <c r="R475" s="37">
        <v>0</v>
      </c>
      <c r="S475" s="37">
        <v>0</v>
      </c>
      <c r="T475" s="16">
        <v>0</v>
      </c>
      <c r="U475" s="37" t="s">
        <v>146</v>
      </c>
      <c r="V475" s="37" t="s">
        <v>147</v>
      </c>
      <c r="W475" s="37" t="s">
        <v>256</v>
      </c>
      <c r="X475" s="37" t="s">
        <v>254</v>
      </c>
      <c r="Y475" s="37">
        <v>0</v>
      </c>
    </row>
    <row r="476" spans="1:25" s="37" customFormat="1" x14ac:dyDescent="0.25">
      <c r="A476" s="37" t="s">
        <v>250</v>
      </c>
      <c r="B476" s="37">
        <v>3012</v>
      </c>
      <c r="C476" s="37">
        <v>2</v>
      </c>
      <c r="D476" s="37" t="s">
        <v>144</v>
      </c>
      <c r="E476" s="37" t="s">
        <v>253</v>
      </c>
      <c r="F476" s="16">
        <v>1000</v>
      </c>
      <c r="G476" s="37">
        <f t="shared" ref="G476:G489" si="216">9+C476</f>
        <v>11</v>
      </c>
      <c r="H476" s="37">
        <v>2</v>
      </c>
      <c r="I476" s="24">
        <v>0</v>
      </c>
      <c r="J476" s="37">
        <v>0</v>
      </c>
      <c r="K476" s="37">
        <v>3</v>
      </c>
      <c r="L476" s="37">
        <f t="shared" si="215"/>
        <v>1</v>
      </c>
      <c r="M476" s="37">
        <v>0</v>
      </c>
      <c r="N476" s="16">
        <v>0</v>
      </c>
      <c r="O476" s="37">
        <v>0</v>
      </c>
      <c r="P476" s="37">
        <v>0</v>
      </c>
      <c r="Q476" s="37">
        <v>0</v>
      </c>
      <c r="R476" s="37">
        <v>0</v>
      </c>
      <c r="S476" s="37">
        <v>0</v>
      </c>
      <c r="T476" s="16">
        <v>0</v>
      </c>
      <c r="U476" s="37" t="s">
        <v>146</v>
      </c>
      <c r="V476" s="37" t="s">
        <v>147</v>
      </c>
      <c r="W476" s="37" t="s">
        <v>256</v>
      </c>
      <c r="X476" s="37" t="s">
        <v>254</v>
      </c>
      <c r="Y476" s="37">
        <v>0</v>
      </c>
    </row>
    <row r="477" spans="1:25" s="37" customFormat="1" x14ac:dyDescent="0.25">
      <c r="A477" s="37" t="s">
        <v>250</v>
      </c>
      <c r="B477" s="37">
        <v>3012</v>
      </c>
      <c r="C477" s="37">
        <v>3</v>
      </c>
      <c r="D477" s="37" t="s">
        <v>144</v>
      </c>
      <c r="E477" s="37" t="s">
        <v>253</v>
      </c>
      <c r="F477" s="16">
        <v>1000</v>
      </c>
      <c r="G477" s="37">
        <f t="shared" si="216"/>
        <v>12</v>
      </c>
      <c r="H477" s="37">
        <v>2</v>
      </c>
      <c r="I477" s="24">
        <v>0</v>
      </c>
      <c r="J477" s="37">
        <v>0</v>
      </c>
      <c r="K477" s="37">
        <v>3</v>
      </c>
      <c r="L477" s="37">
        <f t="shared" si="215"/>
        <v>1</v>
      </c>
      <c r="M477" s="37">
        <v>0</v>
      </c>
      <c r="N477" s="16">
        <v>0</v>
      </c>
      <c r="O477" s="37">
        <v>0</v>
      </c>
      <c r="P477" s="37">
        <v>0</v>
      </c>
      <c r="Q477" s="37">
        <v>0</v>
      </c>
      <c r="R477" s="37">
        <v>0</v>
      </c>
      <c r="S477" s="37">
        <v>0</v>
      </c>
      <c r="T477" s="16">
        <v>0</v>
      </c>
      <c r="U477" s="37" t="s">
        <v>146</v>
      </c>
      <c r="V477" s="37" t="s">
        <v>147</v>
      </c>
      <c r="W477" s="37" t="s">
        <v>256</v>
      </c>
      <c r="X477" s="37" t="s">
        <v>254</v>
      </c>
      <c r="Y477" s="37">
        <v>0</v>
      </c>
    </row>
    <row r="478" spans="1:25" s="37" customFormat="1" x14ac:dyDescent="0.25">
      <c r="A478" s="37" t="s">
        <v>250</v>
      </c>
      <c r="B478" s="37">
        <v>3012</v>
      </c>
      <c r="C478" s="37">
        <v>4</v>
      </c>
      <c r="D478" s="37" t="s">
        <v>144</v>
      </c>
      <c r="E478" s="37" t="s">
        <v>253</v>
      </c>
      <c r="F478" s="16">
        <v>1000</v>
      </c>
      <c r="G478" s="37">
        <f t="shared" si="216"/>
        <v>13</v>
      </c>
      <c r="H478" s="37">
        <v>2</v>
      </c>
      <c r="I478" s="24">
        <v>0</v>
      </c>
      <c r="J478" s="37">
        <v>0</v>
      </c>
      <c r="K478" s="37">
        <v>3</v>
      </c>
      <c r="L478" s="37">
        <f t="shared" si="215"/>
        <v>1</v>
      </c>
      <c r="M478" s="37">
        <v>0</v>
      </c>
      <c r="N478" s="16">
        <v>0</v>
      </c>
      <c r="O478" s="37">
        <v>0</v>
      </c>
      <c r="P478" s="37">
        <v>0</v>
      </c>
      <c r="Q478" s="37">
        <v>0</v>
      </c>
      <c r="R478" s="37">
        <v>0</v>
      </c>
      <c r="S478" s="37">
        <v>0</v>
      </c>
      <c r="T478" s="16">
        <v>0</v>
      </c>
      <c r="U478" s="37" t="s">
        <v>146</v>
      </c>
      <c r="V478" s="37" t="s">
        <v>147</v>
      </c>
      <c r="W478" s="37" t="s">
        <v>256</v>
      </c>
      <c r="X478" s="37" t="s">
        <v>254</v>
      </c>
      <c r="Y478" s="37">
        <v>0</v>
      </c>
    </row>
    <row r="479" spans="1:25" s="37" customFormat="1" x14ac:dyDescent="0.25">
      <c r="A479" s="37" t="s">
        <v>250</v>
      </c>
      <c r="B479" s="37">
        <v>3012</v>
      </c>
      <c r="C479" s="37">
        <v>5</v>
      </c>
      <c r="D479" s="37" t="s">
        <v>144</v>
      </c>
      <c r="E479" s="37" t="s">
        <v>253</v>
      </c>
      <c r="F479" s="16">
        <v>1000</v>
      </c>
      <c r="G479" s="37">
        <f t="shared" si="216"/>
        <v>14</v>
      </c>
      <c r="H479" s="37">
        <v>2</v>
      </c>
      <c r="I479" s="24">
        <v>0</v>
      </c>
      <c r="J479" s="37">
        <v>0</v>
      </c>
      <c r="K479" s="37">
        <v>3</v>
      </c>
      <c r="L479" s="37">
        <f t="shared" si="215"/>
        <v>1</v>
      </c>
      <c r="M479" s="37">
        <v>0</v>
      </c>
      <c r="N479" s="16">
        <v>0</v>
      </c>
      <c r="O479" s="37">
        <v>0</v>
      </c>
      <c r="P479" s="37">
        <v>0</v>
      </c>
      <c r="Q479" s="37">
        <v>0</v>
      </c>
      <c r="R479" s="37">
        <v>0</v>
      </c>
      <c r="S479" s="37">
        <v>0</v>
      </c>
      <c r="T479" s="16">
        <v>0</v>
      </c>
      <c r="U479" s="37" t="s">
        <v>146</v>
      </c>
      <c r="V479" s="37" t="s">
        <v>147</v>
      </c>
      <c r="W479" s="37" t="s">
        <v>256</v>
      </c>
      <c r="X479" s="37" t="s">
        <v>254</v>
      </c>
      <c r="Y479" s="37">
        <v>0</v>
      </c>
    </row>
    <row r="480" spans="1:25" s="37" customFormat="1" x14ac:dyDescent="0.25">
      <c r="A480" s="37" t="s">
        <v>250</v>
      </c>
      <c r="B480" s="37">
        <v>3012</v>
      </c>
      <c r="C480" s="37">
        <v>6</v>
      </c>
      <c r="D480" s="37" t="s">
        <v>144</v>
      </c>
      <c r="E480" s="37" t="s">
        <v>253</v>
      </c>
      <c r="F480" s="16">
        <v>1000</v>
      </c>
      <c r="G480" s="37">
        <f t="shared" si="216"/>
        <v>15</v>
      </c>
      <c r="H480" s="37">
        <v>2</v>
      </c>
      <c r="I480" s="24">
        <v>0</v>
      </c>
      <c r="J480" s="37">
        <v>0</v>
      </c>
      <c r="K480" s="37">
        <v>3</v>
      </c>
      <c r="L480" s="37">
        <f t="shared" si="215"/>
        <v>1</v>
      </c>
      <c r="M480" s="37">
        <v>0</v>
      </c>
      <c r="N480" s="16">
        <v>0</v>
      </c>
      <c r="O480" s="37">
        <v>0</v>
      </c>
      <c r="P480" s="37">
        <v>0</v>
      </c>
      <c r="Q480" s="37">
        <v>0</v>
      </c>
      <c r="R480" s="37">
        <v>0</v>
      </c>
      <c r="S480" s="37">
        <v>0</v>
      </c>
      <c r="T480" s="16">
        <v>0</v>
      </c>
      <c r="U480" s="37" t="s">
        <v>146</v>
      </c>
      <c r="V480" s="37" t="s">
        <v>147</v>
      </c>
      <c r="W480" s="37" t="s">
        <v>256</v>
      </c>
      <c r="X480" s="37" t="s">
        <v>254</v>
      </c>
      <c r="Y480" s="37">
        <v>0</v>
      </c>
    </row>
    <row r="481" spans="1:25" s="37" customFormat="1" x14ac:dyDescent="0.25">
      <c r="A481" s="37" t="s">
        <v>250</v>
      </c>
      <c r="B481" s="37">
        <v>3012</v>
      </c>
      <c r="C481" s="37">
        <v>7</v>
      </c>
      <c r="D481" s="37" t="s">
        <v>144</v>
      </c>
      <c r="E481" s="37" t="s">
        <v>253</v>
      </c>
      <c r="F481" s="16">
        <v>1000</v>
      </c>
      <c r="G481" s="37">
        <f t="shared" si="216"/>
        <v>16</v>
      </c>
      <c r="H481" s="37">
        <v>2</v>
      </c>
      <c r="I481" s="24">
        <v>0</v>
      </c>
      <c r="J481" s="37">
        <v>0</v>
      </c>
      <c r="K481" s="37">
        <v>3</v>
      </c>
      <c r="L481" s="37">
        <f t="shared" si="215"/>
        <v>1</v>
      </c>
      <c r="M481" s="37">
        <v>0</v>
      </c>
      <c r="N481" s="16">
        <v>0</v>
      </c>
      <c r="O481" s="37">
        <v>0</v>
      </c>
      <c r="P481" s="37">
        <v>0</v>
      </c>
      <c r="Q481" s="37">
        <v>0</v>
      </c>
      <c r="R481" s="37">
        <v>0</v>
      </c>
      <c r="S481" s="37">
        <v>0</v>
      </c>
      <c r="T481" s="16">
        <v>0</v>
      </c>
      <c r="U481" s="37" t="s">
        <v>146</v>
      </c>
      <c r="V481" s="37" t="s">
        <v>147</v>
      </c>
      <c r="W481" s="37" t="s">
        <v>256</v>
      </c>
      <c r="X481" s="37" t="s">
        <v>254</v>
      </c>
      <c r="Y481" s="37">
        <v>0</v>
      </c>
    </row>
    <row r="482" spans="1:25" s="37" customFormat="1" x14ac:dyDescent="0.25">
      <c r="A482" s="37" t="s">
        <v>250</v>
      </c>
      <c r="B482" s="37">
        <v>3012</v>
      </c>
      <c r="C482" s="37">
        <v>8</v>
      </c>
      <c r="D482" s="37" t="s">
        <v>144</v>
      </c>
      <c r="E482" s="37" t="s">
        <v>253</v>
      </c>
      <c r="F482" s="16">
        <v>1000</v>
      </c>
      <c r="G482" s="37">
        <f t="shared" si="216"/>
        <v>17</v>
      </c>
      <c r="H482" s="37">
        <v>2</v>
      </c>
      <c r="I482" s="24">
        <v>0</v>
      </c>
      <c r="J482" s="37">
        <v>0</v>
      </c>
      <c r="K482" s="37">
        <v>3</v>
      </c>
      <c r="L482" s="37">
        <f t="shared" si="215"/>
        <v>1</v>
      </c>
      <c r="M482" s="37">
        <v>0</v>
      </c>
      <c r="N482" s="16">
        <v>0</v>
      </c>
      <c r="O482" s="37">
        <v>0</v>
      </c>
      <c r="P482" s="37">
        <v>0</v>
      </c>
      <c r="Q482" s="37">
        <v>0</v>
      </c>
      <c r="R482" s="37">
        <v>0</v>
      </c>
      <c r="S482" s="37">
        <v>0</v>
      </c>
      <c r="T482" s="16">
        <v>0</v>
      </c>
      <c r="U482" s="37" t="s">
        <v>146</v>
      </c>
      <c r="V482" s="37" t="s">
        <v>147</v>
      </c>
      <c r="W482" s="37" t="s">
        <v>256</v>
      </c>
      <c r="X482" s="37" t="s">
        <v>254</v>
      </c>
      <c r="Y482" s="37">
        <v>0</v>
      </c>
    </row>
    <row r="483" spans="1:25" s="37" customFormat="1" x14ac:dyDescent="0.25">
      <c r="A483" s="37" t="s">
        <v>250</v>
      </c>
      <c r="B483" s="37">
        <v>3012</v>
      </c>
      <c r="C483" s="37">
        <v>9</v>
      </c>
      <c r="D483" s="37" t="s">
        <v>144</v>
      </c>
      <c r="E483" s="37" t="s">
        <v>253</v>
      </c>
      <c r="F483" s="16">
        <v>1000</v>
      </c>
      <c r="G483" s="37">
        <f t="shared" si="216"/>
        <v>18</v>
      </c>
      <c r="H483" s="37">
        <v>2</v>
      </c>
      <c r="I483" s="24">
        <v>0</v>
      </c>
      <c r="J483" s="37">
        <v>0</v>
      </c>
      <c r="K483" s="37">
        <v>3</v>
      </c>
      <c r="L483" s="37">
        <f t="shared" si="215"/>
        <v>1</v>
      </c>
      <c r="M483" s="37">
        <v>0</v>
      </c>
      <c r="N483" s="16">
        <v>0</v>
      </c>
      <c r="O483" s="37">
        <v>0</v>
      </c>
      <c r="P483" s="37">
        <v>0</v>
      </c>
      <c r="Q483" s="37">
        <v>0</v>
      </c>
      <c r="R483" s="37">
        <v>0</v>
      </c>
      <c r="S483" s="37">
        <v>0</v>
      </c>
      <c r="T483" s="16">
        <v>0</v>
      </c>
      <c r="U483" s="37" t="s">
        <v>146</v>
      </c>
      <c r="V483" s="37" t="s">
        <v>147</v>
      </c>
      <c r="W483" s="37" t="s">
        <v>256</v>
      </c>
      <c r="X483" s="37" t="s">
        <v>254</v>
      </c>
      <c r="Y483" s="37">
        <v>0</v>
      </c>
    </row>
    <row r="484" spans="1:25" s="37" customFormat="1" x14ac:dyDescent="0.25">
      <c r="A484" s="37" t="s">
        <v>250</v>
      </c>
      <c r="B484" s="37">
        <v>3012</v>
      </c>
      <c r="C484" s="37">
        <v>10</v>
      </c>
      <c r="D484" s="37" t="s">
        <v>144</v>
      </c>
      <c r="E484" s="37" t="s">
        <v>253</v>
      </c>
      <c r="F484" s="16">
        <v>1000</v>
      </c>
      <c r="G484" s="37">
        <f t="shared" si="216"/>
        <v>19</v>
      </c>
      <c r="H484" s="37">
        <v>2</v>
      </c>
      <c r="I484" s="24">
        <v>0</v>
      </c>
      <c r="J484" s="37">
        <v>0</v>
      </c>
      <c r="K484" s="37">
        <v>3</v>
      </c>
      <c r="L484" s="37">
        <f t="shared" si="215"/>
        <v>1</v>
      </c>
      <c r="M484" s="37">
        <v>0</v>
      </c>
      <c r="N484" s="16">
        <v>0</v>
      </c>
      <c r="O484" s="37">
        <v>0</v>
      </c>
      <c r="P484" s="37">
        <v>0</v>
      </c>
      <c r="Q484" s="37">
        <v>0</v>
      </c>
      <c r="R484" s="37">
        <v>0</v>
      </c>
      <c r="S484" s="37">
        <v>0</v>
      </c>
      <c r="T484" s="16">
        <v>0</v>
      </c>
      <c r="U484" s="37" t="s">
        <v>146</v>
      </c>
      <c r="V484" s="37" t="s">
        <v>147</v>
      </c>
      <c r="W484" s="37" t="s">
        <v>256</v>
      </c>
      <c r="X484" s="37" t="s">
        <v>254</v>
      </c>
      <c r="Y484" s="37">
        <v>0</v>
      </c>
    </row>
    <row r="485" spans="1:25" s="37" customFormat="1" x14ac:dyDescent="0.25">
      <c r="A485" s="37" t="s">
        <v>250</v>
      </c>
      <c r="B485" s="37">
        <v>3012</v>
      </c>
      <c r="C485" s="37">
        <v>11</v>
      </c>
      <c r="D485" s="37" t="s">
        <v>144</v>
      </c>
      <c r="E485" s="37" t="s">
        <v>253</v>
      </c>
      <c r="F485" s="16">
        <v>1000</v>
      </c>
      <c r="G485" s="37">
        <f t="shared" si="216"/>
        <v>20</v>
      </c>
      <c r="H485" s="37">
        <v>2</v>
      </c>
      <c r="I485" s="24">
        <v>0</v>
      </c>
      <c r="J485" s="37">
        <v>0</v>
      </c>
      <c r="K485" s="37">
        <v>3</v>
      </c>
      <c r="L485" s="37">
        <f t="shared" si="215"/>
        <v>1</v>
      </c>
      <c r="M485" s="37">
        <v>0</v>
      </c>
      <c r="N485" s="16">
        <v>0</v>
      </c>
      <c r="O485" s="37">
        <v>0</v>
      </c>
      <c r="P485" s="37">
        <v>0</v>
      </c>
      <c r="Q485" s="37">
        <v>0</v>
      </c>
      <c r="R485" s="37">
        <v>0</v>
      </c>
      <c r="S485" s="37">
        <v>0</v>
      </c>
      <c r="T485" s="16">
        <v>0</v>
      </c>
      <c r="U485" s="37" t="s">
        <v>146</v>
      </c>
      <c r="V485" s="37" t="s">
        <v>147</v>
      </c>
      <c r="W485" s="37" t="s">
        <v>256</v>
      </c>
      <c r="X485" s="37" t="s">
        <v>254</v>
      </c>
      <c r="Y485" s="37">
        <v>0</v>
      </c>
    </row>
    <row r="486" spans="1:25" s="37" customFormat="1" x14ac:dyDescent="0.25">
      <c r="A486" s="37" t="s">
        <v>250</v>
      </c>
      <c r="B486" s="37">
        <v>3012</v>
      </c>
      <c r="C486" s="37">
        <v>12</v>
      </c>
      <c r="D486" s="37" t="s">
        <v>144</v>
      </c>
      <c r="E486" s="37" t="s">
        <v>253</v>
      </c>
      <c r="F486" s="16">
        <v>1000</v>
      </c>
      <c r="G486" s="37">
        <f t="shared" si="216"/>
        <v>21</v>
      </c>
      <c r="H486" s="37">
        <v>2</v>
      </c>
      <c r="I486" s="24">
        <v>0</v>
      </c>
      <c r="J486" s="37">
        <v>0</v>
      </c>
      <c r="K486" s="37">
        <v>3</v>
      </c>
      <c r="L486" s="37">
        <f t="shared" si="215"/>
        <v>1</v>
      </c>
      <c r="M486" s="37">
        <v>0</v>
      </c>
      <c r="N486" s="16">
        <v>0</v>
      </c>
      <c r="O486" s="37">
        <v>0</v>
      </c>
      <c r="P486" s="37">
        <v>0</v>
      </c>
      <c r="Q486" s="37">
        <v>0</v>
      </c>
      <c r="R486" s="37">
        <v>0</v>
      </c>
      <c r="S486" s="37">
        <v>0</v>
      </c>
      <c r="T486" s="16">
        <v>0</v>
      </c>
      <c r="U486" s="37" t="s">
        <v>146</v>
      </c>
      <c r="V486" s="37" t="s">
        <v>147</v>
      </c>
      <c r="W486" s="37" t="s">
        <v>256</v>
      </c>
      <c r="X486" s="37" t="s">
        <v>254</v>
      </c>
      <c r="Y486" s="37">
        <v>0</v>
      </c>
    </row>
    <row r="487" spans="1:25" s="37" customFormat="1" x14ac:dyDescent="0.25">
      <c r="A487" s="37" t="s">
        <v>250</v>
      </c>
      <c r="B487" s="37">
        <v>3012</v>
      </c>
      <c r="C487" s="37">
        <v>13</v>
      </c>
      <c r="D487" s="37" t="s">
        <v>144</v>
      </c>
      <c r="E487" s="37" t="s">
        <v>253</v>
      </c>
      <c r="F487" s="16">
        <v>1000</v>
      </c>
      <c r="G487" s="37">
        <f t="shared" si="216"/>
        <v>22</v>
      </c>
      <c r="H487" s="37">
        <v>2</v>
      </c>
      <c r="I487" s="24">
        <v>0</v>
      </c>
      <c r="J487" s="37">
        <v>0</v>
      </c>
      <c r="K487" s="37">
        <v>3</v>
      </c>
      <c r="L487" s="37">
        <f t="shared" si="215"/>
        <v>1</v>
      </c>
      <c r="M487" s="37">
        <v>0</v>
      </c>
      <c r="N487" s="16">
        <v>0</v>
      </c>
      <c r="O487" s="37">
        <v>0</v>
      </c>
      <c r="P487" s="37">
        <v>0</v>
      </c>
      <c r="Q487" s="37">
        <v>0</v>
      </c>
      <c r="R487" s="37">
        <v>0</v>
      </c>
      <c r="S487" s="37">
        <v>0</v>
      </c>
      <c r="T487" s="16">
        <v>0</v>
      </c>
      <c r="U487" s="37" t="s">
        <v>146</v>
      </c>
      <c r="V487" s="37" t="s">
        <v>147</v>
      </c>
      <c r="W487" s="37" t="s">
        <v>256</v>
      </c>
      <c r="X487" s="37" t="s">
        <v>254</v>
      </c>
      <c r="Y487" s="37">
        <v>0</v>
      </c>
    </row>
    <row r="488" spans="1:25" s="37" customFormat="1" x14ac:dyDescent="0.25">
      <c r="A488" s="37" t="s">
        <v>250</v>
      </c>
      <c r="B488" s="37">
        <v>3012</v>
      </c>
      <c r="C488" s="37">
        <v>14</v>
      </c>
      <c r="D488" s="37" t="s">
        <v>144</v>
      </c>
      <c r="E488" s="37" t="s">
        <v>253</v>
      </c>
      <c r="F488" s="16">
        <v>1000</v>
      </c>
      <c r="G488" s="37">
        <f t="shared" si="216"/>
        <v>23</v>
      </c>
      <c r="H488" s="37">
        <v>2</v>
      </c>
      <c r="I488" s="24">
        <v>0</v>
      </c>
      <c r="J488" s="37">
        <v>0</v>
      </c>
      <c r="K488" s="37">
        <v>3</v>
      </c>
      <c r="L488" s="37">
        <f t="shared" si="215"/>
        <v>1</v>
      </c>
      <c r="M488" s="37">
        <v>0</v>
      </c>
      <c r="N488" s="16">
        <v>0</v>
      </c>
      <c r="O488" s="37">
        <v>0</v>
      </c>
      <c r="P488" s="37">
        <v>0</v>
      </c>
      <c r="Q488" s="37">
        <v>0</v>
      </c>
      <c r="R488" s="37">
        <v>0</v>
      </c>
      <c r="S488" s="37">
        <v>0</v>
      </c>
      <c r="T488" s="16">
        <v>0</v>
      </c>
      <c r="U488" s="37" t="s">
        <v>146</v>
      </c>
      <c r="V488" s="37" t="s">
        <v>147</v>
      </c>
      <c r="W488" s="37" t="s">
        <v>256</v>
      </c>
      <c r="X488" s="37" t="s">
        <v>254</v>
      </c>
      <c r="Y488" s="37">
        <v>0</v>
      </c>
    </row>
    <row r="489" spans="1:25" s="37" customFormat="1" x14ac:dyDescent="0.25">
      <c r="A489" s="37" t="s">
        <v>250</v>
      </c>
      <c r="B489" s="37">
        <v>3012</v>
      </c>
      <c r="C489" s="37">
        <v>15</v>
      </c>
      <c r="D489" s="37" t="s">
        <v>144</v>
      </c>
      <c r="E489" s="37" t="s">
        <v>253</v>
      </c>
      <c r="F489" s="16">
        <v>1000</v>
      </c>
      <c r="G489" s="37">
        <f t="shared" si="216"/>
        <v>24</v>
      </c>
      <c r="H489" s="37">
        <v>2</v>
      </c>
      <c r="I489" s="24">
        <v>0</v>
      </c>
      <c r="J489" s="37">
        <v>0</v>
      </c>
      <c r="K489" s="37">
        <v>3</v>
      </c>
      <c r="L489" s="37">
        <f t="shared" si="215"/>
        <v>1</v>
      </c>
      <c r="M489" s="37">
        <v>0</v>
      </c>
      <c r="N489" s="16">
        <v>0</v>
      </c>
      <c r="O489" s="37">
        <v>0</v>
      </c>
      <c r="P489" s="37">
        <v>0</v>
      </c>
      <c r="Q489" s="37">
        <v>0</v>
      </c>
      <c r="R489" s="37">
        <v>0</v>
      </c>
      <c r="S489" s="37">
        <v>0</v>
      </c>
      <c r="T489" s="16">
        <v>0</v>
      </c>
      <c r="U489" s="37" t="s">
        <v>146</v>
      </c>
      <c r="V489" s="37" t="s">
        <v>147</v>
      </c>
      <c r="W489" s="37" t="s">
        <v>256</v>
      </c>
      <c r="X489" s="37" t="s">
        <v>254</v>
      </c>
      <c r="Y489" s="37">
        <v>0</v>
      </c>
    </row>
    <row r="490" spans="1:25" x14ac:dyDescent="0.25">
      <c r="S490" s="15"/>
      <c r="T490" s="16"/>
    </row>
    <row r="492" spans="1:25" x14ac:dyDescent="0.25">
      <c r="A492" s="37" t="s">
        <v>260</v>
      </c>
      <c r="B492" s="37">
        <v>9001</v>
      </c>
      <c r="C492" s="37">
        <v>0</v>
      </c>
      <c r="D492" s="37" t="s">
        <v>144</v>
      </c>
      <c r="E492" s="37" t="s">
        <v>145</v>
      </c>
      <c r="F492" s="37">
        <v>500</v>
      </c>
      <c r="G492" s="15">
        <v>0</v>
      </c>
      <c r="H492" s="15">
        <v>0</v>
      </c>
      <c r="I492" s="21">
        <v>0</v>
      </c>
      <c r="J492" s="37">
        <v>0</v>
      </c>
      <c r="K492" s="37">
        <v>0</v>
      </c>
      <c r="L492" s="37">
        <v>0</v>
      </c>
      <c r="M492" s="37">
        <v>0</v>
      </c>
      <c r="N492" s="16">
        <v>0</v>
      </c>
      <c r="O492" s="15">
        <v>0</v>
      </c>
      <c r="P492" s="15">
        <v>0</v>
      </c>
      <c r="Q492" s="15">
        <v>0</v>
      </c>
      <c r="R492" s="15">
        <v>0</v>
      </c>
      <c r="S492" s="21">
        <v>0</v>
      </c>
      <c r="T492" s="37">
        <v>0</v>
      </c>
      <c r="U492" s="37" t="s">
        <v>146</v>
      </c>
      <c r="V492" s="37" t="s">
        <v>147</v>
      </c>
      <c r="W492" s="37" t="s">
        <v>261</v>
      </c>
      <c r="X492" s="37" t="s">
        <v>149</v>
      </c>
      <c r="Y492">
        <v>0</v>
      </c>
    </row>
    <row r="493" spans="1:25" x14ac:dyDescent="0.25">
      <c r="A493" s="37" t="s">
        <v>260</v>
      </c>
      <c r="B493" s="37">
        <v>9001</v>
      </c>
      <c r="C493" s="37">
        <v>1</v>
      </c>
      <c r="D493" s="37" t="s">
        <v>144</v>
      </c>
      <c r="E493" s="37" t="s">
        <v>184</v>
      </c>
      <c r="F493" s="37">
        <v>1000</v>
      </c>
      <c r="G493" s="15">
        <v>0</v>
      </c>
      <c r="H493" s="15">
        <v>1</v>
      </c>
      <c r="I493" s="21">
        <v>0</v>
      </c>
      <c r="J493" s="37">
        <v>0</v>
      </c>
      <c r="K493" s="37">
        <v>1</v>
      </c>
      <c r="L493" s="37">
        <v>1</v>
      </c>
      <c r="M493" s="37">
        <v>0</v>
      </c>
      <c r="N493" s="16">
        <v>0</v>
      </c>
      <c r="O493" s="15">
        <v>0</v>
      </c>
      <c r="P493" s="15">
        <v>0</v>
      </c>
      <c r="Q493" s="15">
        <v>0</v>
      </c>
      <c r="R493" s="15">
        <v>0</v>
      </c>
      <c r="S493" s="21">
        <v>0</v>
      </c>
      <c r="T493" s="37">
        <v>0</v>
      </c>
      <c r="U493" s="37" t="s">
        <v>146</v>
      </c>
      <c r="V493" s="37" t="s">
        <v>147</v>
      </c>
      <c r="W493" s="37" t="s">
        <v>261</v>
      </c>
      <c r="X493" s="37" t="s">
        <v>149</v>
      </c>
      <c r="Y493" s="37">
        <v>0</v>
      </c>
    </row>
    <row r="494" spans="1:25" x14ac:dyDescent="0.25">
      <c r="A494" s="37" t="s">
        <v>260</v>
      </c>
      <c r="B494" s="37">
        <v>9001</v>
      </c>
      <c r="C494" s="37">
        <v>2</v>
      </c>
      <c r="D494" s="37" t="s">
        <v>144</v>
      </c>
      <c r="E494" s="37" t="s">
        <v>184</v>
      </c>
      <c r="F494" s="37">
        <f>F493+1000</f>
        <v>2000</v>
      </c>
      <c r="G494" s="15">
        <v>0</v>
      </c>
      <c r="H494" s="15">
        <v>1</v>
      </c>
      <c r="I494" s="21">
        <v>0</v>
      </c>
      <c r="J494" s="37">
        <v>0</v>
      </c>
      <c r="K494" s="37">
        <v>1</v>
      </c>
      <c r="L494" s="37">
        <v>1</v>
      </c>
      <c r="M494" s="37">
        <v>0</v>
      </c>
      <c r="N494" s="16">
        <v>0</v>
      </c>
      <c r="O494" s="15">
        <v>0</v>
      </c>
      <c r="P494" s="15">
        <v>0</v>
      </c>
      <c r="Q494" s="15">
        <v>0</v>
      </c>
      <c r="R494" s="15">
        <v>0</v>
      </c>
      <c r="S494" s="21">
        <v>0</v>
      </c>
      <c r="T494" s="37">
        <v>0</v>
      </c>
      <c r="U494" s="37" t="s">
        <v>146</v>
      </c>
      <c r="V494" s="37" t="s">
        <v>147</v>
      </c>
      <c r="W494" s="37" t="s">
        <v>261</v>
      </c>
      <c r="X494" s="37" t="s">
        <v>149</v>
      </c>
      <c r="Y494" s="37">
        <v>0</v>
      </c>
    </row>
    <row r="495" spans="1:25" x14ac:dyDescent="0.25">
      <c r="A495" s="37" t="s">
        <v>260</v>
      </c>
      <c r="B495" s="37">
        <v>9001</v>
      </c>
      <c r="C495" s="37">
        <v>3</v>
      </c>
      <c r="D495" s="37" t="s">
        <v>144</v>
      </c>
      <c r="E495" s="37" t="s">
        <v>184</v>
      </c>
      <c r="F495" s="37">
        <f t="shared" ref="F495:F512" si="217">F494+1000</f>
        <v>3000</v>
      </c>
      <c r="G495" s="15">
        <v>0</v>
      </c>
      <c r="H495" s="15">
        <v>1</v>
      </c>
      <c r="I495" s="21">
        <v>0</v>
      </c>
      <c r="J495" s="37">
        <v>0</v>
      </c>
      <c r="K495" s="37">
        <v>1</v>
      </c>
      <c r="L495" s="37">
        <v>1</v>
      </c>
      <c r="M495" s="37">
        <v>0</v>
      </c>
      <c r="N495" s="16">
        <v>0</v>
      </c>
      <c r="O495" s="15">
        <v>0</v>
      </c>
      <c r="P495" s="15">
        <v>0</v>
      </c>
      <c r="Q495" s="15">
        <v>0</v>
      </c>
      <c r="R495" s="15">
        <v>0</v>
      </c>
      <c r="S495" s="21">
        <v>0</v>
      </c>
      <c r="T495" s="37">
        <v>0</v>
      </c>
      <c r="U495" s="37" t="s">
        <v>146</v>
      </c>
      <c r="V495" s="37" t="s">
        <v>147</v>
      </c>
      <c r="W495" s="37" t="s">
        <v>261</v>
      </c>
      <c r="X495" s="37" t="s">
        <v>149</v>
      </c>
      <c r="Y495" s="37">
        <v>0</v>
      </c>
    </row>
    <row r="496" spans="1:25" x14ac:dyDescent="0.25">
      <c r="A496" s="37" t="s">
        <v>260</v>
      </c>
      <c r="B496" s="37">
        <v>9001</v>
      </c>
      <c r="C496" s="37">
        <v>4</v>
      </c>
      <c r="D496" s="37" t="s">
        <v>144</v>
      </c>
      <c r="E496" s="37" t="s">
        <v>184</v>
      </c>
      <c r="F496" s="37">
        <f t="shared" si="217"/>
        <v>4000</v>
      </c>
      <c r="G496" s="15">
        <v>0</v>
      </c>
      <c r="H496" s="15">
        <v>1</v>
      </c>
      <c r="I496" s="21">
        <v>0</v>
      </c>
      <c r="J496" s="37">
        <v>0</v>
      </c>
      <c r="K496" s="37">
        <v>1</v>
      </c>
      <c r="L496" s="37">
        <v>1</v>
      </c>
      <c r="M496" s="37">
        <v>0</v>
      </c>
      <c r="N496" s="16">
        <v>0</v>
      </c>
      <c r="O496" s="15">
        <v>0</v>
      </c>
      <c r="P496" s="15">
        <v>0</v>
      </c>
      <c r="Q496" s="15">
        <v>0</v>
      </c>
      <c r="R496" s="15">
        <v>0</v>
      </c>
      <c r="S496" s="21">
        <v>0</v>
      </c>
      <c r="T496" s="37">
        <v>0</v>
      </c>
      <c r="U496" s="37" t="s">
        <v>146</v>
      </c>
      <c r="V496" s="37" t="s">
        <v>147</v>
      </c>
      <c r="W496" s="37" t="s">
        <v>261</v>
      </c>
      <c r="X496" s="37" t="s">
        <v>149</v>
      </c>
      <c r="Y496" s="37">
        <v>0</v>
      </c>
    </row>
    <row r="497" spans="1:25" x14ac:dyDescent="0.25">
      <c r="A497" s="37" t="s">
        <v>260</v>
      </c>
      <c r="B497" s="37">
        <v>9001</v>
      </c>
      <c r="C497" s="37">
        <v>5</v>
      </c>
      <c r="D497" s="37" t="s">
        <v>144</v>
      </c>
      <c r="E497" s="37" t="s">
        <v>184</v>
      </c>
      <c r="F497" s="37">
        <f t="shared" si="217"/>
        <v>5000</v>
      </c>
      <c r="G497" s="15">
        <v>0</v>
      </c>
      <c r="H497" s="15">
        <v>1</v>
      </c>
      <c r="I497" s="21">
        <v>0</v>
      </c>
      <c r="J497" s="37">
        <v>0</v>
      </c>
      <c r="K497" s="37">
        <v>1</v>
      </c>
      <c r="L497" s="37">
        <v>1</v>
      </c>
      <c r="M497" s="37">
        <v>0</v>
      </c>
      <c r="N497" s="16">
        <v>0</v>
      </c>
      <c r="O497" s="15">
        <v>0</v>
      </c>
      <c r="P497" s="15">
        <v>0</v>
      </c>
      <c r="Q497" s="15">
        <v>0</v>
      </c>
      <c r="R497" s="15">
        <v>0</v>
      </c>
      <c r="S497" s="21">
        <v>0</v>
      </c>
      <c r="T497" s="37">
        <v>0</v>
      </c>
      <c r="U497" s="37" t="s">
        <v>146</v>
      </c>
      <c r="V497" s="37" t="s">
        <v>147</v>
      </c>
      <c r="W497" s="37" t="s">
        <v>261</v>
      </c>
      <c r="X497" s="37" t="s">
        <v>149</v>
      </c>
      <c r="Y497" s="37">
        <v>0</v>
      </c>
    </row>
    <row r="498" spans="1:25" x14ac:dyDescent="0.25">
      <c r="A498" s="37" t="s">
        <v>260</v>
      </c>
      <c r="B498" s="37">
        <v>9001</v>
      </c>
      <c r="C498" s="37">
        <v>6</v>
      </c>
      <c r="D498" s="37" t="s">
        <v>144</v>
      </c>
      <c r="E498" s="37" t="s">
        <v>184</v>
      </c>
      <c r="F498" s="37">
        <f t="shared" si="217"/>
        <v>6000</v>
      </c>
      <c r="G498" s="15">
        <v>0</v>
      </c>
      <c r="H498" s="15">
        <v>1</v>
      </c>
      <c r="I498" s="21">
        <v>0</v>
      </c>
      <c r="J498" s="37">
        <v>0</v>
      </c>
      <c r="K498" s="37">
        <v>1</v>
      </c>
      <c r="L498" s="37">
        <v>1</v>
      </c>
      <c r="M498" s="37">
        <v>0</v>
      </c>
      <c r="N498" s="16">
        <v>0</v>
      </c>
      <c r="O498" s="15">
        <v>0</v>
      </c>
      <c r="P498" s="15">
        <v>0</v>
      </c>
      <c r="Q498" s="15">
        <v>0</v>
      </c>
      <c r="R498" s="15">
        <v>0</v>
      </c>
      <c r="S498" s="21">
        <v>0</v>
      </c>
      <c r="T498" s="37">
        <v>0</v>
      </c>
      <c r="U498" s="37" t="s">
        <v>146</v>
      </c>
      <c r="V498" s="37" t="s">
        <v>147</v>
      </c>
      <c r="W498" s="37" t="s">
        <v>261</v>
      </c>
      <c r="X498" s="37" t="s">
        <v>149</v>
      </c>
      <c r="Y498" s="37">
        <v>0</v>
      </c>
    </row>
    <row r="499" spans="1:25" x14ac:dyDescent="0.25">
      <c r="A499" s="37" t="s">
        <v>260</v>
      </c>
      <c r="B499" s="37">
        <v>9001</v>
      </c>
      <c r="C499" s="37">
        <v>7</v>
      </c>
      <c r="D499" s="37" t="s">
        <v>144</v>
      </c>
      <c r="E499" s="37" t="s">
        <v>184</v>
      </c>
      <c r="F499" s="37">
        <f t="shared" si="217"/>
        <v>7000</v>
      </c>
      <c r="G499" s="15">
        <v>0</v>
      </c>
      <c r="H499" s="15">
        <v>1</v>
      </c>
      <c r="I499" s="21">
        <v>0</v>
      </c>
      <c r="J499" s="37">
        <v>0</v>
      </c>
      <c r="K499" s="37">
        <v>1</v>
      </c>
      <c r="L499" s="37">
        <v>1</v>
      </c>
      <c r="M499" s="37">
        <v>0</v>
      </c>
      <c r="N499" s="16">
        <v>0</v>
      </c>
      <c r="O499" s="15">
        <v>0</v>
      </c>
      <c r="P499" s="15">
        <v>0</v>
      </c>
      <c r="Q499" s="15">
        <v>0</v>
      </c>
      <c r="R499" s="15">
        <v>0</v>
      </c>
      <c r="S499" s="21">
        <v>0</v>
      </c>
      <c r="T499" s="37">
        <v>0</v>
      </c>
      <c r="U499" s="37" t="s">
        <v>146</v>
      </c>
      <c r="V499" s="37" t="s">
        <v>147</v>
      </c>
      <c r="W499" s="37" t="s">
        <v>261</v>
      </c>
      <c r="X499" s="37" t="s">
        <v>149</v>
      </c>
      <c r="Y499" s="37">
        <v>0</v>
      </c>
    </row>
    <row r="500" spans="1:25" x14ac:dyDescent="0.25">
      <c r="A500" s="37" t="s">
        <v>260</v>
      </c>
      <c r="B500" s="37">
        <v>9001</v>
      </c>
      <c r="C500" s="37">
        <v>8</v>
      </c>
      <c r="D500" s="37" t="s">
        <v>144</v>
      </c>
      <c r="E500" s="37" t="s">
        <v>184</v>
      </c>
      <c r="F500" s="37">
        <f t="shared" si="217"/>
        <v>8000</v>
      </c>
      <c r="G500" s="15">
        <v>0</v>
      </c>
      <c r="H500" s="15">
        <v>1</v>
      </c>
      <c r="I500" s="21">
        <v>0</v>
      </c>
      <c r="J500" s="37">
        <v>0</v>
      </c>
      <c r="K500" s="37">
        <v>1</v>
      </c>
      <c r="L500" s="37">
        <v>1</v>
      </c>
      <c r="M500" s="37">
        <v>0</v>
      </c>
      <c r="N500" s="16">
        <v>0</v>
      </c>
      <c r="O500" s="15">
        <v>0</v>
      </c>
      <c r="P500" s="15">
        <v>0</v>
      </c>
      <c r="Q500" s="15">
        <v>0</v>
      </c>
      <c r="R500" s="15">
        <v>0</v>
      </c>
      <c r="S500" s="21">
        <v>0</v>
      </c>
      <c r="T500" s="37">
        <v>0</v>
      </c>
      <c r="U500" s="37" t="s">
        <v>146</v>
      </c>
      <c r="V500" s="37" t="s">
        <v>147</v>
      </c>
      <c r="W500" s="37" t="s">
        <v>261</v>
      </c>
      <c r="X500" s="37" t="s">
        <v>149</v>
      </c>
      <c r="Y500" s="37">
        <v>0</v>
      </c>
    </row>
    <row r="501" spans="1:25" x14ac:dyDescent="0.25">
      <c r="A501" s="37" t="s">
        <v>260</v>
      </c>
      <c r="B501" s="37">
        <v>9001</v>
      </c>
      <c r="C501" s="37">
        <v>9</v>
      </c>
      <c r="D501" s="37" t="s">
        <v>144</v>
      </c>
      <c r="E501" s="37" t="s">
        <v>184</v>
      </c>
      <c r="F501" s="37">
        <f t="shared" si="217"/>
        <v>9000</v>
      </c>
      <c r="G501" s="15">
        <v>0</v>
      </c>
      <c r="H501" s="15">
        <v>1</v>
      </c>
      <c r="I501" s="21">
        <v>0</v>
      </c>
      <c r="J501" s="37">
        <v>0</v>
      </c>
      <c r="K501" s="37">
        <v>1</v>
      </c>
      <c r="L501" s="37">
        <v>1</v>
      </c>
      <c r="M501" s="37">
        <v>0</v>
      </c>
      <c r="N501" s="16">
        <v>0</v>
      </c>
      <c r="O501" s="15">
        <v>0</v>
      </c>
      <c r="P501" s="15">
        <v>0</v>
      </c>
      <c r="Q501" s="15">
        <v>0</v>
      </c>
      <c r="R501" s="15">
        <v>0</v>
      </c>
      <c r="S501" s="21">
        <v>0</v>
      </c>
      <c r="T501" s="37">
        <v>0</v>
      </c>
      <c r="U501" s="37" t="s">
        <v>146</v>
      </c>
      <c r="V501" s="37" t="s">
        <v>147</v>
      </c>
      <c r="W501" s="37" t="s">
        <v>261</v>
      </c>
      <c r="X501" s="37" t="s">
        <v>149</v>
      </c>
      <c r="Y501" s="37">
        <v>0</v>
      </c>
    </row>
    <row r="502" spans="1:25" x14ac:dyDescent="0.25">
      <c r="A502" s="37" t="s">
        <v>260</v>
      </c>
      <c r="B502" s="37">
        <v>9001</v>
      </c>
      <c r="C502" s="37">
        <v>10</v>
      </c>
      <c r="D502" s="37" t="s">
        <v>144</v>
      </c>
      <c r="E502" s="37" t="s">
        <v>184</v>
      </c>
      <c r="F502" s="37">
        <f t="shared" si="217"/>
        <v>10000</v>
      </c>
      <c r="G502" s="15">
        <v>0</v>
      </c>
      <c r="H502" s="15">
        <v>1</v>
      </c>
      <c r="I502" s="21">
        <v>0</v>
      </c>
      <c r="J502" s="37">
        <v>0</v>
      </c>
      <c r="K502" s="37">
        <v>1</v>
      </c>
      <c r="L502" s="37">
        <v>1</v>
      </c>
      <c r="M502" s="37">
        <v>0</v>
      </c>
      <c r="N502" s="16">
        <v>0</v>
      </c>
      <c r="O502" s="15">
        <v>0</v>
      </c>
      <c r="P502" s="15">
        <v>0</v>
      </c>
      <c r="Q502" s="15">
        <v>0</v>
      </c>
      <c r="R502" s="15">
        <v>0</v>
      </c>
      <c r="S502" s="21">
        <v>0</v>
      </c>
      <c r="T502" s="37">
        <v>0</v>
      </c>
      <c r="U502" s="37" t="s">
        <v>146</v>
      </c>
      <c r="V502" s="37" t="s">
        <v>147</v>
      </c>
      <c r="W502" s="37" t="s">
        <v>261</v>
      </c>
      <c r="X502" s="37" t="s">
        <v>149</v>
      </c>
      <c r="Y502" s="37">
        <v>0</v>
      </c>
    </row>
    <row r="503" spans="1:25" x14ac:dyDescent="0.25">
      <c r="A503" s="37" t="s">
        <v>260</v>
      </c>
      <c r="B503" s="37">
        <v>9001</v>
      </c>
      <c r="C503" s="37">
        <v>11</v>
      </c>
      <c r="D503" s="37" t="s">
        <v>144</v>
      </c>
      <c r="E503" s="37" t="s">
        <v>184</v>
      </c>
      <c r="F503" s="37">
        <f t="shared" si="217"/>
        <v>11000</v>
      </c>
      <c r="G503" s="15">
        <v>0</v>
      </c>
      <c r="H503" s="15">
        <v>1</v>
      </c>
      <c r="I503" s="21">
        <v>0</v>
      </c>
      <c r="J503" s="37">
        <v>0</v>
      </c>
      <c r="K503" s="37">
        <v>1</v>
      </c>
      <c r="L503" s="37">
        <v>1</v>
      </c>
      <c r="M503" s="37">
        <v>0</v>
      </c>
      <c r="N503" s="16">
        <v>0</v>
      </c>
      <c r="O503" s="15">
        <v>0</v>
      </c>
      <c r="P503" s="15">
        <v>0</v>
      </c>
      <c r="Q503" s="15">
        <v>0</v>
      </c>
      <c r="R503" s="15">
        <v>0</v>
      </c>
      <c r="S503" s="21">
        <v>0</v>
      </c>
      <c r="T503" s="37">
        <v>0</v>
      </c>
      <c r="U503" s="37" t="s">
        <v>146</v>
      </c>
      <c r="V503" s="37" t="s">
        <v>147</v>
      </c>
      <c r="W503" s="37" t="s">
        <v>261</v>
      </c>
      <c r="X503" s="37" t="s">
        <v>149</v>
      </c>
      <c r="Y503" s="37">
        <v>0</v>
      </c>
    </row>
    <row r="504" spans="1:25" x14ac:dyDescent="0.25">
      <c r="A504" s="37" t="s">
        <v>260</v>
      </c>
      <c r="B504" s="37">
        <v>9001</v>
      </c>
      <c r="C504" s="37">
        <v>12</v>
      </c>
      <c r="D504" s="37" t="s">
        <v>144</v>
      </c>
      <c r="E504" s="37" t="s">
        <v>184</v>
      </c>
      <c r="F504" s="37">
        <f t="shared" si="217"/>
        <v>12000</v>
      </c>
      <c r="G504" s="15">
        <v>0</v>
      </c>
      <c r="H504" s="15">
        <v>1</v>
      </c>
      <c r="I504" s="21">
        <v>0</v>
      </c>
      <c r="J504" s="37">
        <v>0</v>
      </c>
      <c r="K504" s="37">
        <v>1</v>
      </c>
      <c r="L504" s="37">
        <v>1</v>
      </c>
      <c r="M504" s="37">
        <v>0</v>
      </c>
      <c r="N504" s="16">
        <v>0</v>
      </c>
      <c r="O504" s="15">
        <v>0</v>
      </c>
      <c r="P504" s="15">
        <v>0</v>
      </c>
      <c r="Q504" s="15">
        <v>0</v>
      </c>
      <c r="R504" s="15">
        <v>0</v>
      </c>
      <c r="S504" s="21">
        <v>0</v>
      </c>
      <c r="T504" s="37">
        <v>0</v>
      </c>
      <c r="U504" s="37" t="s">
        <v>146</v>
      </c>
      <c r="V504" s="37" t="s">
        <v>147</v>
      </c>
      <c r="W504" s="37" t="s">
        <v>261</v>
      </c>
      <c r="X504" s="37" t="s">
        <v>149</v>
      </c>
      <c r="Y504" s="37">
        <v>0</v>
      </c>
    </row>
    <row r="505" spans="1:25" x14ac:dyDescent="0.25">
      <c r="A505" s="37" t="s">
        <v>260</v>
      </c>
      <c r="B505" s="37">
        <v>9001</v>
      </c>
      <c r="C505" s="37">
        <v>13</v>
      </c>
      <c r="D505" s="37" t="s">
        <v>144</v>
      </c>
      <c r="E505" s="37" t="s">
        <v>184</v>
      </c>
      <c r="F505" s="37">
        <f t="shared" si="217"/>
        <v>13000</v>
      </c>
      <c r="G505" s="15">
        <v>0</v>
      </c>
      <c r="H505" s="15">
        <v>1</v>
      </c>
      <c r="I505" s="21">
        <v>0</v>
      </c>
      <c r="J505" s="37">
        <v>0</v>
      </c>
      <c r="K505" s="37">
        <v>1</v>
      </c>
      <c r="L505" s="37">
        <v>1</v>
      </c>
      <c r="M505" s="37">
        <v>0</v>
      </c>
      <c r="N505" s="16">
        <v>0</v>
      </c>
      <c r="O505" s="15">
        <v>0</v>
      </c>
      <c r="P505" s="15">
        <v>0</v>
      </c>
      <c r="Q505" s="15">
        <v>0</v>
      </c>
      <c r="R505" s="15">
        <v>0</v>
      </c>
      <c r="S505" s="21">
        <v>0</v>
      </c>
      <c r="T505" s="37">
        <v>0</v>
      </c>
      <c r="U505" s="37" t="s">
        <v>146</v>
      </c>
      <c r="V505" s="37" t="s">
        <v>147</v>
      </c>
      <c r="W505" s="37" t="s">
        <v>261</v>
      </c>
      <c r="X505" s="37" t="s">
        <v>149</v>
      </c>
      <c r="Y505" s="37">
        <v>0</v>
      </c>
    </row>
    <row r="506" spans="1:25" x14ac:dyDescent="0.25">
      <c r="A506" s="37" t="s">
        <v>260</v>
      </c>
      <c r="B506" s="37">
        <v>9001</v>
      </c>
      <c r="C506" s="37">
        <v>14</v>
      </c>
      <c r="D506" s="37" t="s">
        <v>144</v>
      </c>
      <c r="E506" s="37" t="s">
        <v>184</v>
      </c>
      <c r="F506" s="37">
        <f t="shared" si="217"/>
        <v>14000</v>
      </c>
      <c r="G506" s="15">
        <v>0</v>
      </c>
      <c r="H506" s="15">
        <v>1</v>
      </c>
      <c r="I506" s="21">
        <v>0</v>
      </c>
      <c r="J506" s="37">
        <v>0</v>
      </c>
      <c r="K506" s="37">
        <v>1</v>
      </c>
      <c r="L506" s="37">
        <v>1</v>
      </c>
      <c r="M506" s="37">
        <v>0</v>
      </c>
      <c r="N506" s="16">
        <v>0</v>
      </c>
      <c r="O506" s="15">
        <v>0</v>
      </c>
      <c r="P506" s="15">
        <v>0</v>
      </c>
      <c r="Q506" s="15">
        <v>0</v>
      </c>
      <c r="R506" s="15">
        <v>0</v>
      </c>
      <c r="S506" s="21">
        <v>0</v>
      </c>
      <c r="T506" s="37">
        <v>0</v>
      </c>
      <c r="U506" s="37" t="s">
        <v>146</v>
      </c>
      <c r="V506" s="37" t="s">
        <v>147</v>
      </c>
      <c r="W506" s="37" t="s">
        <v>261</v>
      </c>
      <c r="X506" s="37" t="s">
        <v>149</v>
      </c>
      <c r="Y506" s="37">
        <v>0</v>
      </c>
    </row>
    <row r="507" spans="1:25" x14ac:dyDescent="0.25">
      <c r="A507" s="37" t="s">
        <v>260</v>
      </c>
      <c r="B507" s="37">
        <v>9001</v>
      </c>
      <c r="C507" s="37">
        <v>15</v>
      </c>
      <c r="D507" s="37" t="s">
        <v>144</v>
      </c>
      <c r="E507" s="37" t="s">
        <v>184</v>
      </c>
      <c r="F507" s="37">
        <f t="shared" si="217"/>
        <v>15000</v>
      </c>
      <c r="G507" s="15">
        <v>0</v>
      </c>
      <c r="H507" s="15">
        <v>1</v>
      </c>
      <c r="I507" s="21">
        <v>0</v>
      </c>
      <c r="J507" s="37">
        <v>0</v>
      </c>
      <c r="K507" s="37">
        <v>1</v>
      </c>
      <c r="L507" s="37">
        <v>1</v>
      </c>
      <c r="M507" s="37">
        <v>0</v>
      </c>
      <c r="N507" s="16">
        <v>0</v>
      </c>
      <c r="O507" s="15">
        <v>0</v>
      </c>
      <c r="P507" s="15">
        <v>0</v>
      </c>
      <c r="Q507" s="15">
        <v>0</v>
      </c>
      <c r="R507" s="15">
        <v>0</v>
      </c>
      <c r="S507" s="21">
        <v>0</v>
      </c>
      <c r="T507" s="37">
        <v>0</v>
      </c>
      <c r="U507" s="37" t="s">
        <v>146</v>
      </c>
      <c r="V507" s="37" t="s">
        <v>147</v>
      </c>
      <c r="W507" s="37" t="s">
        <v>261</v>
      </c>
      <c r="X507" s="37" t="s">
        <v>149</v>
      </c>
      <c r="Y507" s="37">
        <v>0</v>
      </c>
    </row>
    <row r="508" spans="1:25" x14ac:dyDescent="0.25">
      <c r="A508" s="37" t="s">
        <v>260</v>
      </c>
      <c r="B508" s="37">
        <v>9001</v>
      </c>
      <c r="C508" s="37">
        <v>16</v>
      </c>
      <c r="D508" s="37" t="s">
        <v>144</v>
      </c>
      <c r="E508" s="37" t="s">
        <v>184</v>
      </c>
      <c r="F508" s="37">
        <f t="shared" si="217"/>
        <v>16000</v>
      </c>
      <c r="G508" s="15">
        <v>0</v>
      </c>
      <c r="H508" s="15">
        <v>1</v>
      </c>
      <c r="I508" s="21">
        <v>0</v>
      </c>
      <c r="J508" s="37">
        <v>0</v>
      </c>
      <c r="K508" s="37">
        <v>1</v>
      </c>
      <c r="L508" s="37">
        <v>1</v>
      </c>
      <c r="M508" s="37">
        <v>0</v>
      </c>
      <c r="N508" s="16">
        <v>0</v>
      </c>
      <c r="O508" s="15">
        <v>0</v>
      </c>
      <c r="P508" s="15">
        <v>0</v>
      </c>
      <c r="Q508" s="15">
        <v>0</v>
      </c>
      <c r="R508" s="15">
        <v>0</v>
      </c>
      <c r="S508" s="21">
        <v>0</v>
      </c>
      <c r="T508" s="37">
        <v>0</v>
      </c>
      <c r="U508" s="37" t="s">
        <v>146</v>
      </c>
      <c r="V508" s="37" t="s">
        <v>147</v>
      </c>
      <c r="W508" s="37" t="s">
        <v>261</v>
      </c>
      <c r="X508" s="37" t="s">
        <v>149</v>
      </c>
      <c r="Y508" s="37">
        <v>0</v>
      </c>
    </row>
    <row r="509" spans="1:25" x14ac:dyDescent="0.25">
      <c r="A509" s="37" t="s">
        <v>260</v>
      </c>
      <c r="B509" s="37">
        <v>9001</v>
      </c>
      <c r="C509" s="37">
        <v>17</v>
      </c>
      <c r="D509" s="37" t="s">
        <v>144</v>
      </c>
      <c r="E509" s="37" t="s">
        <v>184</v>
      </c>
      <c r="F509" s="37">
        <f t="shared" si="217"/>
        <v>17000</v>
      </c>
      <c r="G509" s="15">
        <v>0</v>
      </c>
      <c r="H509" s="15">
        <v>1</v>
      </c>
      <c r="I509" s="21">
        <v>0</v>
      </c>
      <c r="J509" s="37">
        <v>0</v>
      </c>
      <c r="K509" s="37">
        <v>1</v>
      </c>
      <c r="L509" s="37">
        <v>1</v>
      </c>
      <c r="M509" s="37">
        <v>0</v>
      </c>
      <c r="N509" s="16">
        <v>0</v>
      </c>
      <c r="O509" s="15">
        <v>0</v>
      </c>
      <c r="P509" s="15">
        <v>0</v>
      </c>
      <c r="Q509" s="15">
        <v>0</v>
      </c>
      <c r="R509" s="15">
        <v>0</v>
      </c>
      <c r="S509" s="21">
        <v>0</v>
      </c>
      <c r="T509" s="37">
        <v>0</v>
      </c>
      <c r="U509" s="37" t="s">
        <v>146</v>
      </c>
      <c r="V509" s="37" t="s">
        <v>147</v>
      </c>
      <c r="W509" s="37" t="s">
        <v>261</v>
      </c>
      <c r="X509" s="37" t="s">
        <v>149</v>
      </c>
      <c r="Y509" s="37">
        <v>0</v>
      </c>
    </row>
    <row r="510" spans="1:25" x14ac:dyDescent="0.25">
      <c r="A510" s="37" t="s">
        <v>260</v>
      </c>
      <c r="B510" s="37">
        <v>9001</v>
      </c>
      <c r="C510" s="37">
        <v>18</v>
      </c>
      <c r="D510" s="37" t="s">
        <v>144</v>
      </c>
      <c r="E510" s="37" t="s">
        <v>184</v>
      </c>
      <c r="F510" s="37">
        <f t="shared" si="217"/>
        <v>18000</v>
      </c>
      <c r="G510" s="15">
        <v>0</v>
      </c>
      <c r="H510" s="15">
        <v>1</v>
      </c>
      <c r="I510" s="21">
        <v>0</v>
      </c>
      <c r="J510" s="37">
        <v>0</v>
      </c>
      <c r="K510" s="37">
        <v>1</v>
      </c>
      <c r="L510" s="37">
        <v>1</v>
      </c>
      <c r="M510" s="37">
        <v>0</v>
      </c>
      <c r="N510" s="16">
        <v>0</v>
      </c>
      <c r="O510" s="15">
        <v>0</v>
      </c>
      <c r="P510" s="15">
        <v>0</v>
      </c>
      <c r="Q510" s="15">
        <v>0</v>
      </c>
      <c r="R510" s="15">
        <v>0</v>
      </c>
      <c r="S510" s="21">
        <v>0</v>
      </c>
      <c r="T510" s="37">
        <v>0</v>
      </c>
      <c r="U510" s="37" t="s">
        <v>146</v>
      </c>
      <c r="V510" s="37" t="s">
        <v>147</v>
      </c>
      <c r="W510" s="37" t="s">
        <v>261</v>
      </c>
      <c r="X510" s="37" t="s">
        <v>149</v>
      </c>
      <c r="Y510" s="37">
        <v>0</v>
      </c>
    </row>
    <row r="511" spans="1:25" x14ac:dyDescent="0.25">
      <c r="A511" s="37" t="s">
        <v>260</v>
      </c>
      <c r="B511" s="37">
        <v>9001</v>
      </c>
      <c r="C511" s="37">
        <v>19</v>
      </c>
      <c r="D511" s="37" t="s">
        <v>144</v>
      </c>
      <c r="E511" s="37" t="s">
        <v>184</v>
      </c>
      <c r="F511" s="37">
        <f t="shared" si="217"/>
        <v>19000</v>
      </c>
      <c r="G511" s="15">
        <v>0</v>
      </c>
      <c r="H511" s="15">
        <v>1</v>
      </c>
      <c r="I511" s="21">
        <v>0</v>
      </c>
      <c r="J511" s="37">
        <v>0</v>
      </c>
      <c r="K511" s="37">
        <v>1</v>
      </c>
      <c r="L511" s="37">
        <v>1</v>
      </c>
      <c r="M511" s="37">
        <v>0</v>
      </c>
      <c r="N511" s="16">
        <v>0</v>
      </c>
      <c r="O511" s="15">
        <v>0</v>
      </c>
      <c r="P511" s="15">
        <v>0</v>
      </c>
      <c r="Q511" s="15">
        <v>0</v>
      </c>
      <c r="R511" s="15">
        <v>0</v>
      </c>
      <c r="S511" s="21">
        <v>0</v>
      </c>
      <c r="T511" s="37">
        <v>0</v>
      </c>
      <c r="U511" s="37" t="s">
        <v>146</v>
      </c>
      <c r="V511" s="37" t="s">
        <v>147</v>
      </c>
      <c r="W511" s="37" t="s">
        <v>261</v>
      </c>
      <c r="X511" s="37" t="s">
        <v>149</v>
      </c>
      <c r="Y511" s="37">
        <v>0</v>
      </c>
    </row>
    <row r="512" spans="1:25" x14ac:dyDescent="0.25">
      <c r="A512" s="37" t="s">
        <v>260</v>
      </c>
      <c r="B512" s="37">
        <v>9001</v>
      </c>
      <c r="C512" s="37">
        <v>20</v>
      </c>
      <c r="D512" s="37" t="s">
        <v>144</v>
      </c>
      <c r="E512" s="37" t="s">
        <v>184</v>
      </c>
      <c r="F512" s="37">
        <f t="shared" si="217"/>
        <v>20000</v>
      </c>
      <c r="G512" s="15">
        <v>0</v>
      </c>
      <c r="H512" s="15">
        <v>1</v>
      </c>
      <c r="I512" s="21">
        <v>0</v>
      </c>
      <c r="J512" s="37">
        <v>0</v>
      </c>
      <c r="K512" s="37">
        <v>1</v>
      </c>
      <c r="L512" s="37">
        <v>1</v>
      </c>
      <c r="M512" s="37">
        <v>0</v>
      </c>
      <c r="N512" s="16">
        <v>0</v>
      </c>
      <c r="O512" s="15">
        <v>0</v>
      </c>
      <c r="P512" s="15">
        <v>0</v>
      </c>
      <c r="Q512" s="15">
        <v>0</v>
      </c>
      <c r="R512" s="15">
        <v>0</v>
      </c>
      <c r="S512" s="21">
        <v>0</v>
      </c>
      <c r="T512" s="37">
        <v>0</v>
      </c>
      <c r="U512" s="37" t="s">
        <v>146</v>
      </c>
      <c r="V512" s="37" t="s">
        <v>147</v>
      </c>
      <c r="W512" s="37" t="s">
        <v>261</v>
      </c>
      <c r="X512" s="37" t="s">
        <v>149</v>
      </c>
      <c r="Y512" s="37">
        <v>0</v>
      </c>
    </row>
    <row r="513" spans="15:18" x14ac:dyDescent="0.25">
      <c r="O513" s="15"/>
      <c r="P513" s="15"/>
      <c r="Q513" s="15"/>
      <c r="R513" s="15"/>
    </row>
    <row r="514" spans="15:18" x14ac:dyDescent="0.25">
      <c r="O514" s="15"/>
      <c r="P514" s="15"/>
      <c r="Q514" s="15"/>
      <c r="R514" s="15"/>
    </row>
  </sheetData>
  <mergeCells count="3">
    <mergeCell ref="K11:M11"/>
    <mergeCell ref="C3:M3"/>
    <mergeCell ref="B11:D1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615"/>
  <sheetViews>
    <sheetView workbookViewId="0">
      <selection sqref="A1:XFD1048576"/>
    </sheetView>
  </sheetViews>
  <sheetFormatPr defaultRowHeight="15" x14ac:dyDescent="0.25"/>
  <sheetData>
    <row r="1" spans="1:25" x14ac:dyDescent="0.25">
      <c r="A1" t="s">
        <v>127</v>
      </c>
      <c r="B1" t="s">
        <v>128</v>
      </c>
      <c r="C1" t="s">
        <v>129</v>
      </c>
      <c r="D1" t="s">
        <v>130</v>
      </c>
      <c r="E1" t="s">
        <v>131</v>
      </c>
      <c r="F1" t="s">
        <v>93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132</v>
      </c>
      <c r="O1" t="s">
        <v>133</v>
      </c>
      <c r="P1" t="s">
        <v>134</v>
      </c>
      <c r="Q1" t="s">
        <v>135</v>
      </c>
      <c r="R1" t="s">
        <v>136</v>
      </c>
      <c r="S1" t="s">
        <v>69</v>
      </c>
      <c r="T1" t="s">
        <v>137</v>
      </c>
      <c r="U1" t="s">
        <v>138</v>
      </c>
      <c r="V1" t="s">
        <v>139</v>
      </c>
      <c r="W1" t="s">
        <v>140</v>
      </c>
      <c r="X1" t="s">
        <v>141</v>
      </c>
      <c r="Y1" t="s">
        <v>142</v>
      </c>
    </row>
    <row r="3" spans="1:25" x14ac:dyDescent="0.25">
      <c r="A3" t="s">
        <v>203</v>
      </c>
      <c r="C3" t="s">
        <v>210</v>
      </c>
    </row>
    <row r="4" spans="1:25" x14ac:dyDescent="0.25">
      <c r="A4" t="s">
        <v>203</v>
      </c>
      <c r="C4" t="s">
        <v>207</v>
      </c>
      <c r="E4" t="s">
        <v>113</v>
      </c>
      <c r="F4">
        <v>50</v>
      </c>
      <c r="G4">
        <v>0</v>
      </c>
      <c r="H4">
        <v>0</v>
      </c>
      <c r="I4">
        <v>15</v>
      </c>
      <c r="J4">
        <v>0</v>
      </c>
      <c r="K4">
        <v>5</v>
      </c>
      <c r="L4">
        <v>5</v>
      </c>
      <c r="M4">
        <v>0</v>
      </c>
    </row>
    <row r="5" spans="1:25" x14ac:dyDescent="0.25">
      <c r="A5" t="s">
        <v>203</v>
      </c>
      <c r="C5" t="s">
        <v>116</v>
      </c>
      <c r="E5" t="s">
        <v>115</v>
      </c>
      <c r="F5">
        <v>40</v>
      </c>
      <c r="G5">
        <v>0</v>
      </c>
      <c r="H5">
        <v>0</v>
      </c>
      <c r="I5">
        <v>5</v>
      </c>
      <c r="J5">
        <v>0</v>
      </c>
      <c r="K5">
        <v>11</v>
      </c>
      <c r="L5">
        <v>3</v>
      </c>
      <c r="M5">
        <v>0</v>
      </c>
    </row>
    <row r="6" spans="1:25" x14ac:dyDescent="0.25">
      <c r="A6" t="s">
        <v>203</v>
      </c>
      <c r="C6" t="s">
        <v>118</v>
      </c>
      <c r="E6" t="s">
        <v>117</v>
      </c>
      <c r="F6">
        <v>50</v>
      </c>
      <c r="G6">
        <v>0</v>
      </c>
      <c r="H6">
        <v>0</v>
      </c>
      <c r="I6">
        <v>7</v>
      </c>
      <c r="J6">
        <v>0</v>
      </c>
      <c r="K6">
        <v>7</v>
      </c>
      <c r="L6">
        <v>7</v>
      </c>
      <c r="M6">
        <v>0</v>
      </c>
    </row>
    <row r="7" spans="1:25" x14ac:dyDescent="0.25">
      <c r="A7" t="s">
        <v>203</v>
      </c>
      <c r="C7" t="s">
        <v>120</v>
      </c>
      <c r="E7" t="s">
        <v>119</v>
      </c>
      <c r="F7">
        <v>80</v>
      </c>
      <c r="G7">
        <v>0</v>
      </c>
      <c r="H7">
        <v>0</v>
      </c>
      <c r="I7">
        <v>8</v>
      </c>
      <c r="J7">
        <v>0</v>
      </c>
      <c r="K7">
        <v>5</v>
      </c>
      <c r="L7">
        <v>7</v>
      </c>
      <c r="M7">
        <v>0</v>
      </c>
    </row>
    <row r="8" spans="1:25" x14ac:dyDescent="0.25">
      <c r="A8" t="s">
        <v>203</v>
      </c>
      <c r="C8" t="s">
        <v>121</v>
      </c>
      <c r="F8">
        <v>100</v>
      </c>
      <c r="G8">
        <v>0</v>
      </c>
      <c r="H8">
        <v>0</v>
      </c>
      <c r="I8">
        <v>25</v>
      </c>
      <c r="J8">
        <v>0</v>
      </c>
      <c r="K8">
        <v>2</v>
      </c>
      <c r="L8">
        <v>8</v>
      </c>
      <c r="M8">
        <v>0</v>
      </c>
    </row>
    <row r="9" spans="1:25" x14ac:dyDescent="0.25">
      <c r="A9" t="s">
        <v>203</v>
      </c>
      <c r="C9" t="s">
        <v>122</v>
      </c>
      <c r="F9">
        <v>35</v>
      </c>
      <c r="G9">
        <v>0</v>
      </c>
      <c r="H9">
        <v>0</v>
      </c>
      <c r="I9">
        <v>5</v>
      </c>
      <c r="J9">
        <v>0</v>
      </c>
      <c r="K9">
        <v>14</v>
      </c>
      <c r="L9">
        <v>0</v>
      </c>
      <c r="M9">
        <v>0</v>
      </c>
    </row>
    <row r="10" spans="1:25" x14ac:dyDescent="0.25">
      <c r="A10" t="s">
        <v>203</v>
      </c>
    </row>
    <row r="11" spans="1:25" x14ac:dyDescent="0.25">
      <c r="A11" t="s">
        <v>203</v>
      </c>
      <c r="B11" t="s">
        <v>211</v>
      </c>
      <c r="K11" t="s">
        <v>209</v>
      </c>
    </row>
    <row r="12" spans="1:25" x14ac:dyDescent="0.25">
      <c r="A12" t="s">
        <v>203</v>
      </c>
      <c r="B12" t="s">
        <v>197</v>
      </c>
      <c r="C12" t="s">
        <v>206</v>
      </c>
      <c r="D12" t="s">
        <v>101</v>
      </c>
      <c r="J12" t="s">
        <v>195</v>
      </c>
      <c r="K12" t="s">
        <v>1</v>
      </c>
      <c r="L12" t="s">
        <v>2</v>
      </c>
      <c r="M12" t="s">
        <v>194</v>
      </c>
    </row>
    <row r="13" spans="1:25" x14ac:dyDescent="0.25">
      <c r="A13" t="s">
        <v>203</v>
      </c>
      <c r="B13">
        <v>0</v>
      </c>
      <c r="C13">
        <v>0</v>
      </c>
      <c r="D13">
        <v>0</v>
      </c>
      <c r="E13" s="3"/>
      <c r="J13">
        <v>15</v>
      </c>
      <c r="K13">
        <v>2.5000000000000001E-2</v>
      </c>
      <c r="L13">
        <v>20</v>
      </c>
      <c r="M13">
        <v>750</v>
      </c>
    </row>
    <row r="14" spans="1:25" x14ac:dyDescent="0.25">
      <c r="A14" t="s">
        <v>203</v>
      </c>
      <c r="B14" s="3">
        <v>1</v>
      </c>
      <c r="C14" s="3">
        <v>20</v>
      </c>
      <c r="D14" s="3">
        <v>0</v>
      </c>
      <c r="Y14" s="3"/>
    </row>
    <row r="15" spans="1:25" x14ac:dyDescent="0.25">
      <c r="A15" t="s">
        <v>203</v>
      </c>
      <c r="B15" s="3">
        <v>2</v>
      </c>
      <c r="C15" s="3">
        <v>25</v>
      </c>
      <c r="D15" s="3">
        <v>5</v>
      </c>
      <c r="K15" t="s">
        <v>197</v>
      </c>
      <c r="L15" t="s">
        <v>5</v>
      </c>
      <c r="M15" t="s">
        <v>8</v>
      </c>
      <c r="N15" t="s">
        <v>9</v>
      </c>
      <c r="O15" t="s">
        <v>29</v>
      </c>
      <c r="P15" t="s">
        <v>84</v>
      </c>
      <c r="Y15" s="3"/>
    </row>
    <row r="16" spans="1:25" x14ac:dyDescent="0.25">
      <c r="A16" t="s">
        <v>203</v>
      </c>
      <c r="B16" s="3">
        <v>3</v>
      </c>
      <c r="C16" s="3">
        <v>31</v>
      </c>
      <c r="D16" s="3">
        <v>11</v>
      </c>
      <c r="E16" s="3"/>
      <c r="K16">
        <v>1</v>
      </c>
      <c r="L16" s="2">
        <v>20.000000000000036</v>
      </c>
      <c r="M16" s="3">
        <v>20</v>
      </c>
      <c r="N16" s="3">
        <v>20</v>
      </c>
      <c r="O16" s="13" t="s">
        <v>212</v>
      </c>
      <c r="P16" s="3">
        <v>20</v>
      </c>
      <c r="Y16" s="3"/>
    </row>
    <row r="17" spans="1:25" x14ac:dyDescent="0.25">
      <c r="A17" t="s">
        <v>203</v>
      </c>
      <c r="B17" s="3">
        <v>4</v>
      </c>
      <c r="C17" s="3">
        <v>38</v>
      </c>
      <c r="D17" s="3">
        <v>18</v>
      </c>
      <c r="E17" s="3"/>
      <c r="K17">
        <v>2</v>
      </c>
      <c r="L17" s="2">
        <v>33.736233356601311</v>
      </c>
      <c r="M17" s="3">
        <v>34</v>
      </c>
      <c r="N17" s="3">
        <v>30</v>
      </c>
      <c r="O17" s="13" t="s">
        <v>213</v>
      </c>
      <c r="P17" s="3">
        <v>50</v>
      </c>
      <c r="Y17" s="3"/>
    </row>
    <row r="18" spans="1:25" x14ac:dyDescent="0.25">
      <c r="A18" t="s">
        <v>203</v>
      </c>
      <c r="B18" s="3">
        <v>5</v>
      </c>
      <c r="C18" s="3">
        <v>44</v>
      </c>
      <c r="D18" s="3">
        <v>24</v>
      </c>
      <c r="E18" s="3"/>
      <c r="K18">
        <v>3</v>
      </c>
      <c r="L18" s="2">
        <v>47.820201121423359</v>
      </c>
      <c r="M18" s="3">
        <v>48</v>
      </c>
      <c r="N18" s="3">
        <v>50</v>
      </c>
      <c r="O18" s="13" t="s">
        <v>214</v>
      </c>
      <c r="P18" s="3">
        <v>80</v>
      </c>
      <c r="Y18" s="3"/>
    </row>
    <row r="19" spans="1:25" x14ac:dyDescent="0.25">
      <c r="A19" t="s">
        <v>203</v>
      </c>
      <c r="B19" s="3">
        <v>6</v>
      </c>
      <c r="C19" s="3">
        <v>51</v>
      </c>
      <c r="D19" s="3">
        <v>31</v>
      </c>
      <c r="E19" s="3"/>
      <c r="K19">
        <v>4</v>
      </c>
      <c r="L19" s="2">
        <v>62.26070623305344</v>
      </c>
      <c r="M19" s="3">
        <v>62</v>
      </c>
      <c r="N19" s="3">
        <v>60</v>
      </c>
      <c r="O19" s="13" t="s">
        <v>215</v>
      </c>
      <c r="P19" s="3">
        <v>110</v>
      </c>
      <c r="Y19" s="3"/>
    </row>
    <row r="20" spans="1:25" x14ac:dyDescent="0.25">
      <c r="A20" t="s">
        <v>203</v>
      </c>
      <c r="B20" s="3">
        <v>7</v>
      </c>
      <c r="C20" s="3">
        <v>59</v>
      </c>
      <c r="D20" s="3">
        <v>39</v>
      </c>
      <c r="E20" s="3"/>
      <c r="K20">
        <v>5</v>
      </c>
      <c r="L20" s="2">
        <v>77.066774477533798</v>
      </c>
      <c r="M20" s="3">
        <v>77</v>
      </c>
      <c r="N20" s="3">
        <v>80</v>
      </c>
      <c r="O20" s="13" t="s">
        <v>216</v>
      </c>
      <c r="P20" s="3">
        <v>140</v>
      </c>
      <c r="Y20" s="3"/>
    </row>
    <row r="21" spans="1:25" x14ac:dyDescent="0.25">
      <c r="A21" t="s">
        <v>203</v>
      </c>
      <c r="B21" s="3">
        <v>8</v>
      </c>
      <c r="C21" s="3">
        <v>67</v>
      </c>
      <c r="D21" s="3">
        <v>47</v>
      </c>
      <c r="E21" s="3"/>
      <c r="K21">
        <v>6</v>
      </c>
      <c r="L21" s="2">
        <v>92.247660129771489</v>
      </c>
      <c r="M21" s="3">
        <v>92</v>
      </c>
      <c r="N21" s="3">
        <v>90</v>
      </c>
      <c r="O21" s="13" t="s">
        <v>217</v>
      </c>
      <c r="Y21" s="3"/>
    </row>
    <row r="22" spans="1:25" x14ac:dyDescent="0.25">
      <c r="A22" t="s">
        <v>203</v>
      </c>
      <c r="B22" s="3">
        <v>9</v>
      </c>
      <c r="C22" s="3">
        <v>76</v>
      </c>
      <c r="D22" s="3">
        <v>56</v>
      </c>
      <c r="E22" s="3"/>
      <c r="K22">
        <v>7</v>
      </c>
      <c r="L22" s="2">
        <v>107.81285173776158</v>
      </c>
      <c r="M22" s="3">
        <v>108</v>
      </c>
      <c r="N22" s="3">
        <v>110</v>
      </c>
      <c r="O22" s="13" t="s">
        <v>218</v>
      </c>
      <c r="Y22" s="3"/>
    </row>
    <row r="23" spans="1:25" x14ac:dyDescent="0.25">
      <c r="A23" t="s">
        <v>203</v>
      </c>
      <c r="B23">
        <v>10</v>
      </c>
      <c r="C23" s="3">
        <v>86</v>
      </c>
      <c r="D23" s="3">
        <v>66</v>
      </c>
      <c r="E23" s="3"/>
      <c r="K23">
        <v>8</v>
      </c>
      <c r="L23" s="2">
        <v>123.77207805323897</v>
      </c>
      <c r="M23" s="3">
        <v>124</v>
      </c>
      <c r="N23" s="3">
        <v>120</v>
      </c>
      <c r="O23" s="13" t="s">
        <v>219</v>
      </c>
      <c r="Y23" s="3"/>
    </row>
    <row r="24" spans="1:25" x14ac:dyDescent="0.25">
      <c r="A24" t="s">
        <v>203</v>
      </c>
      <c r="B24">
        <v>11</v>
      </c>
      <c r="C24" s="3">
        <v>96</v>
      </c>
      <c r="D24" s="3">
        <v>76</v>
      </c>
      <c r="E24" s="3"/>
      <c r="K24">
        <v>9</v>
      </c>
      <c r="L24" s="2">
        <v>140.13531411246524</v>
      </c>
      <c r="M24" s="3">
        <v>140</v>
      </c>
      <c r="N24" s="3">
        <v>140</v>
      </c>
      <c r="O24" s="13" t="s">
        <v>220</v>
      </c>
      <c r="Y24" s="3"/>
    </row>
    <row r="25" spans="1:25" x14ac:dyDescent="0.25">
      <c r="A25" t="s">
        <v>203</v>
      </c>
      <c r="B25">
        <v>12</v>
      </c>
      <c r="C25" s="3">
        <v>107</v>
      </c>
      <c r="D25" s="3">
        <v>87</v>
      </c>
      <c r="E25" s="3"/>
      <c r="K25">
        <v>10</v>
      </c>
      <c r="L25" s="2">
        <v>156.91278747095043</v>
      </c>
      <c r="M25" s="3">
        <v>157</v>
      </c>
      <c r="N25" s="3">
        <v>160</v>
      </c>
      <c r="O25" s="13" t="s">
        <v>221</v>
      </c>
      <c r="Y25" s="3"/>
    </row>
    <row r="26" spans="1:25" x14ac:dyDescent="0.25">
      <c r="A26" t="s">
        <v>203</v>
      </c>
      <c r="B26">
        <v>13</v>
      </c>
      <c r="C26" s="3">
        <v>119</v>
      </c>
      <c r="D26" s="3">
        <v>99</v>
      </c>
      <c r="E26" s="3"/>
      <c r="K26">
        <v>11</v>
      </c>
      <c r="L26" s="2">
        <v>174.11498459600952</v>
      </c>
      <c r="M26" s="3">
        <v>174</v>
      </c>
      <c r="N26" s="3">
        <v>170</v>
      </c>
      <c r="O26" s="13" t="s">
        <v>222</v>
      </c>
      <c r="Y26" s="3"/>
    </row>
    <row r="27" spans="1:25" x14ac:dyDescent="0.25">
      <c r="A27" t="s">
        <v>203</v>
      </c>
      <c r="B27">
        <v>14</v>
      </c>
      <c r="C27" s="3">
        <v>131</v>
      </c>
      <c r="D27" s="3">
        <v>111</v>
      </c>
      <c r="E27" s="3"/>
      <c r="K27">
        <v>12</v>
      </c>
      <c r="L27" s="2">
        <v>191.75265742114496</v>
      </c>
      <c r="M27" s="3">
        <v>192</v>
      </c>
      <c r="N27" s="3">
        <v>190</v>
      </c>
      <c r="O27" s="13" t="s">
        <v>223</v>
      </c>
      <c r="Y27" s="3"/>
    </row>
    <row r="28" spans="1:25" x14ac:dyDescent="0.25">
      <c r="A28" t="s">
        <v>203</v>
      </c>
      <c r="B28">
        <v>15</v>
      </c>
      <c r="C28" s="3">
        <v>145</v>
      </c>
      <c r="D28" s="3">
        <v>125</v>
      </c>
      <c r="E28" s="3"/>
      <c r="K28">
        <v>13</v>
      </c>
      <c r="L28" s="2">
        <v>209.83683006635596</v>
      </c>
      <c r="M28" s="3">
        <v>210</v>
      </c>
      <c r="N28" s="3">
        <v>210</v>
      </c>
      <c r="O28" s="13" t="s">
        <v>224</v>
      </c>
      <c r="Y28" s="3"/>
    </row>
    <row r="29" spans="1:25" x14ac:dyDescent="0.25">
      <c r="A29" t="s">
        <v>203</v>
      </c>
      <c r="C29" s="2"/>
      <c r="D29" s="3"/>
      <c r="E29" s="3"/>
      <c r="K29">
        <v>14</v>
      </c>
      <c r="L29" s="2">
        <v>228.37880572857267</v>
      </c>
      <c r="M29" s="3">
        <v>228</v>
      </c>
      <c r="N29" s="3">
        <v>230</v>
      </c>
      <c r="O29" s="13" t="s">
        <v>225</v>
      </c>
    </row>
    <row r="30" spans="1:25" x14ac:dyDescent="0.25">
      <c r="A30" t="s">
        <v>203</v>
      </c>
      <c r="C30" s="2"/>
      <c r="D30" s="3"/>
      <c r="E30" s="3"/>
      <c r="F30" s="13"/>
      <c r="K30">
        <v>15</v>
      </c>
      <c r="L30" s="2">
        <v>247.39017374652147</v>
      </c>
      <c r="M30" s="3">
        <v>247</v>
      </c>
      <c r="N30" s="3">
        <v>250</v>
      </c>
      <c r="O30" s="13" t="s">
        <v>226</v>
      </c>
    </row>
    <row r="32" spans="1:25" x14ac:dyDescent="0.25">
      <c r="A32" t="s">
        <v>208</v>
      </c>
      <c r="B32" t="s">
        <v>128</v>
      </c>
      <c r="C32" t="s">
        <v>129</v>
      </c>
      <c r="D32" t="s">
        <v>130</v>
      </c>
      <c r="E32" t="s">
        <v>131</v>
      </c>
      <c r="F32" t="s">
        <v>93</v>
      </c>
      <c r="G32" t="s">
        <v>94</v>
      </c>
      <c r="H32" t="s">
        <v>95</v>
      </c>
      <c r="I32" t="s">
        <v>96</v>
      </c>
      <c r="J32" t="s">
        <v>97</v>
      </c>
      <c r="K32" t="s">
        <v>98</v>
      </c>
      <c r="L32" t="s">
        <v>99</v>
      </c>
      <c r="M32" t="s">
        <v>100</v>
      </c>
      <c r="N32" t="s">
        <v>132</v>
      </c>
      <c r="O32" t="s">
        <v>133</v>
      </c>
      <c r="P32" t="s">
        <v>134</v>
      </c>
      <c r="Q32" t="s">
        <v>135</v>
      </c>
      <c r="R32" t="s">
        <v>136</v>
      </c>
      <c r="S32" t="s">
        <v>69</v>
      </c>
      <c r="T32" t="s">
        <v>137</v>
      </c>
      <c r="U32" t="s">
        <v>138</v>
      </c>
      <c r="V32" t="s">
        <v>139</v>
      </c>
      <c r="W32" t="s">
        <v>140</v>
      </c>
      <c r="X32" t="s">
        <v>141</v>
      </c>
      <c r="Y32" t="s">
        <v>142</v>
      </c>
    </row>
    <row r="34" spans="1:25" x14ac:dyDescent="0.25">
      <c r="A34" t="s">
        <v>203</v>
      </c>
      <c r="B34" t="s">
        <v>201</v>
      </c>
      <c r="C34">
        <v>15</v>
      </c>
      <c r="K34" t="s">
        <v>1</v>
      </c>
      <c r="L34" t="s">
        <v>2</v>
      </c>
      <c r="M34" t="s">
        <v>194</v>
      </c>
      <c r="N34" t="s">
        <v>204</v>
      </c>
      <c r="O34" t="s">
        <v>205</v>
      </c>
    </row>
    <row r="35" spans="1:25" x14ac:dyDescent="0.25">
      <c r="A35" t="s">
        <v>203</v>
      </c>
      <c r="B35" t="s">
        <v>202</v>
      </c>
      <c r="C35">
        <v>1</v>
      </c>
      <c r="H35" t="s">
        <v>132</v>
      </c>
      <c r="K35">
        <v>0.4</v>
      </c>
      <c r="L35">
        <v>-5</v>
      </c>
      <c r="M35">
        <v>8000</v>
      </c>
    </row>
    <row r="36" spans="1:25" x14ac:dyDescent="0.25">
      <c r="A36" t="s">
        <v>203</v>
      </c>
      <c r="B36" t="s">
        <v>128</v>
      </c>
      <c r="C36" t="s">
        <v>120</v>
      </c>
      <c r="H36" t="s">
        <v>133</v>
      </c>
      <c r="K36">
        <v>0.25</v>
      </c>
      <c r="L36">
        <v>120</v>
      </c>
      <c r="M36">
        <v>20000</v>
      </c>
    </row>
    <row r="37" spans="1:25" x14ac:dyDescent="0.25">
      <c r="A37" t="s">
        <v>203</v>
      </c>
      <c r="H37" t="s">
        <v>198</v>
      </c>
      <c r="K37">
        <v>0.25</v>
      </c>
      <c r="L37">
        <v>150</v>
      </c>
      <c r="M37">
        <v>11280</v>
      </c>
    </row>
    <row r="38" spans="1:25" x14ac:dyDescent="0.25">
      <c r="A38" t="s">
        <v>203</v>
      </c>
      <c r="H38" t="s">
        <v>135</v>
      </c>
      <c r="K38">
        <v>0.1</v>
      </c>
      <c r="L38">
        <v>-10</v>
      </c>
      <c r="M38">
        <v>2000</v>
      </c>
    </row>
    <row r="39" spans="1:25" x14ac:dyDescent="0.25">
      <c r="A39" t="s">
        <v>203</v>
      </c>
      <c r="H39" t="s">
        <v>136</v>
      </c>
      <c r="K39">
        <v>0</v>
      </c>
      <c r="L39">
        <v>0</v>
      </c>
      <c r="M39">
        <v>0</v>
      </c>
    </row>
    <row r="40" spans="1:25" x14ac:dyDescent="0.25">
      <c r="A40" t="s">
        <v>203</v>
      </c>
      <c r="H40" t="s">
        <v>69</v>
      </c>
      <c r="K40">
        <v>0.1</v>
      </c>
      <c r="L40" s="3">
        <v>3600</v>
      </c>
      <c r="M40" s="3">
        <v>93600</v>
      </c>
      <c r="N40" s="13" t="s">
        <v>227</v>
      </c>
      <c r="O40" s="13" t="s">
        <v>228</v>
      </c>
    </row>
    <row r="41" spans="1:25" x14ac:dyDescent="0.25">
      <c r="L41" s="3"/>
      <c r="M41" s="3"/>
    </row>
    <row r="42" spans="1:25" x14ac:dyDescent="0.25">
      <c r="A42" t="s">
        <v>143</v>
      </c>
      <c r="B42">
        <v>2000</v>
      </c>
      <c r="C42">
        <v>0</v>
      </c>
      <c r="D42" t="s">
        <v>144</v>
      </c>
      <c r="E42" t="s">
        <v>145</v>
      </c>
      <c r="F42">
        <v>500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 t="s">
        <v>146</v>
      </c>
      <c r="V42" t="s">
        <v>147</v>
      </c>
      <c r="W42" t="s">
        <v>148</v>
      </c>
      <c r="X42" t="s">
        <v>149</v>
      </c>
      <c r="Y42">
        <v>0</v>
      </c>
    </row>
    <row r="43" spans="1:25" x14ac:dyDescent="0.25">
      <c r="A43" t="s">
        <v>143</v>
      </c>
      <c r="B43">
        <v>2000</v>
      </c>
      <c r="C43">
        <v>1</v>
      </c>
      <c r="D43" t="s">
        <v>144</v>
      </c>
      <c r="E43" t="s">
        <v>150</v>
      </c>
      <c r="F43">
        <v>1600</v>
      </c>
      <c r="G43">
        <v>0</v>
      </c>
      <c r="H43">
        <v>0</v>
      </c>
      <c r="I43">
        <v>160</v>
      </c>
      <c r="J43">
        <v>0</v>
      </c>
      <c r="K43">
        <v>5</v>
      </c>
      <c r="L43">
        <v>7</v>
      </c>
      <c r="M43">
        <v>0</v>
      </c>
      <c r="N43">
        <v>0</v>
      </c>
      <c r="O43">
        <v>120</v>
      </c>
      <c r="P43">
        <v>150</v>
      </c>
      <c r="Q43">
        <v>0</v>
      </c>
      <c r="R43">
        <v>0</v>
      </c>
      <c r="S43">
        <v>3600</v>
      </c>
      <c r="T43">
        <v>20001</v>
      </c>
      <c r="U43" t="s">
        <v>146</v>
      </c>
      <c r="V43" t="s">
        <v>147</v>
      </c>
      <c r="W43" t="s">
        <v>148</v>
      </c>
      <c r="X43" t="s">
        <v>149</v>
      </c>
      <c r="Y43">
        <v>0</v>
      </c>
    </row>
    <row r="44" spans="1:25" x14ac:dyDescent="0.25">
      <c r="A44" t="s">
        <v>143</v>
      </c>
      <c r="B44">
        <v>2000</v>
      </c>
      <c r="C44">
        <v>2</v>
      </c>
      <c r="D44" t="s">
        <v>144</v>
      </c>
      <c r="E44" t="s">
        <v>150</v>
      </c>
      <c r="F44">
        <v>2000</v>
      </c>
      <c r="G44">
        <v>0</v>
      </c>
      <c r="H44">
        <v>0</v>
      </c>
      <c r="I44">
        <v>200</v>
      </c>
      <c r="J44">
        <v>0</v>
      </c>
      <c r="K44">
        <v>5</v>
      </c>
      <c r="L44">
        <v>7</v>
      </c>
      <c r="M44">
        <v>0</v>
      </c>
      <c r="N44">
        <v>0</v>
      </c>
      <c r="O44">
        <v>290</v>
      </c>
      <c r="P44">
        <v>250</v>
      </c>
      <c r="Q44">
        <v>0</v>
      </c>
      <c r="R44">
        <v>0</v>
      </c>
      <c r="S44">
        <v>6100</v>
      </c>
      <c r="T44">
        <v>20002</v>
      </c>
      <c r="U44" t="s">
        <v>146</v>
      </c>
      <c r="V44" t="s">
        <v>147</v>
      </c>
      <c r="W44" t="s">
        <v>148</v>
      </c>
      <c r="X44" t="s">
        <v>149</v>
      </c>
      <c r="Y44">
        <v>0</v>
      </c>
    </row>
    <row r="45" spans="1:25" x14ac:dyDescent="0.25">
      <c r="A45" t="s">
        <v>143</v>
      </c>
      <c r="B45">
        <v>2000</v>
      </c>
      <c r="C45">
        <v>3</v>
      </c>
      <c r="D45" t="s">
        <v>144</v>
      </c>
      <c r="E45" t="s">
        <v>150</v>
      </c>
      <c r="F45">
        <v>2480</v>
      </c>
      <c r="G45">
        <v>0</v>
      </c>
      <c r="H45">
        <v>0</v>
      </c>
      <c r="I45">
        <v>248</v>
      </c>
      <c r="J45">
        <v>0</v>
      </c>
      <c r="K45">
        <v>5</v>
      </c>
      <c r="L45">
        <v>7</v>
      </c>
      <c r="M45">
        <v>0</v>
      </c>
      <c r="N45">
        <v>0</v>
      </c>
      <c r="O45">
        <v>510</v>
      </c>
      <c r="P45">
        <v>370</v>
      </c>
      <c r="Q45">
        <v>0</v>
      </c>
      <c r="R45">
        <v>0</v>
      </c>
      <c r="S45">
        <v>8900</v>
      </c>
      <c r="T45">
        <v>20003</v>
      </c>
      <c r="U45" t="s">
        <v>146</v>
      </c>
      <c r="V45" t="s">
        <v>147</v>
      </c>
      <c r="W45" t="s">
        <v>148</v>
      </c>
      <c r="X45" t="s">
        <v>149</v>
      </c>
      <c r="Y45">
        <v>0</v>
      </c>
    </row>
    <row r="46" spans="1:25" x14ac:dyDescent="0.25">
      <c r="A46" t="s">
        <v>143</v>
      </c>
      <c r="B46">
        <v>2000</v>
      </c>
      <c r="C46">
        <v>4</v>
      </c>
      <c r="D46" t="s">
        <v>144</v>
      </c>
      <c r="E46" t="s">
        <v>150</v>
      </c>
      <c r="F46">
        <v>3040</v>
      </c>
      <c r="G46">
        <v>0</v>
      </c>
      <c r="H46">
        <v>0</v>
      </c>
      <c r="I46">
        <v>304</v>
      </c>
      <c r="J46">
        <v>0</v>
      </c>
      <c r="K46">
        <v>5</v>
      </c>
      <c r="L46">
        <v>7</v>
      </c>
      <c r="M46">
        <v>0</v>
      </c>
      <c r="N46">
        <v>0</v>
      </c>
      <c r="O46">
        <v>800</v>
      </c>
      <c r="P46">
        <v>540</v>
      </c>
      <c r="Q46">
        <v>0</v>
      </c>
      <c r="R46">
        <v>0</v>
      </c>
      <c r="S46">
        <v>12000</v>
      </c>
      <c r="T46">
        <v>20004</v>
      </c>
      <c r="U46" t="s">
        <v>146</v>
      </c>
      <c r="V46" t="s">
        <v>147</v>
      </c>
      <c r="W46" t="s">
        <v>148</v>
      </c>
      <c r="X46" t="s">
        <v>149</v>
      </c>
      <c r="Y46">
        <v>0</v>
      </c>
    </row>
    <row r="47" spans="1:25" x14ac:dyDescent="0.25">
      <c r="A47" t="s">
        <v>143</v>
      </c>
      <c r="B47">
        <v>2000</v>
      </c>
      <c r="C47">
        <v>5</v>
      </c>
      <c r="D47" t="s">
        <v>144</v>
      </c>
      <c r="E47" t="s">
        <v>150</v>
      </c>
      <c r="F47">
        <v>3520</v>
      </c>
      <c r="G47">
        <v>0</v>
      </c>
      <c r="H47">
        <v>0</v>
      </c>
      <c r="I47">
        <v>352</v>
      </c>
      <c r="J47">
        <v>0</v>
      </c>
      <c r="K47">
        <v>5</v>
      </c>
      <c r="L47">
        <v>7</v>
      </c>
      <c r="M47">
        <v>0</v>
      </c>
      <c r="N47">
        <v>0</v>
      </c>
      <c r="O47">
        <v>1160</v>
      </c>
      <c r="P47">
        <v>740</v>
      </c>
      <c r="Q47">
        <v>0</v>
      </c>
      <c r="R47">
        <v>0</v>
      </c>
      <c r="S47">
        <v>15400</v>
      </c>
      <c r="T47">
        <v>20005</v>
      </c>
      <c r="U47" t="s">
        <v>146</v>
      </c>
      <c r="V47" t="s">
        <v>147</v>
      </c>
      <c r="W47" t="s">
        <v>148</v>
      </c>
      <c r="X47" t="s">
        <v>149</v>
      </c>
      <c r="Y47">
        <v>0</v>
      </c>
    </row>
    <row r="48" spans="1:25" x14ac:dyDescent="0.25">
      <c r="A48" t="s">
        <v>143</v>
      </c>
      <c r="B48">
        <v>2000</v>
      </c>
      <c r="C48">
        <v>6</v>
      </c>
      <c r="D48" t="s">
        <v>144</v>
      </c>
      <c r="E48" t="s">
        <v>150</v>
      </c>
      <c r="F48">
        <v>4080</v>
      </c>
      <c r="G48">
        <v>0</v>
      </c>
      <c r="H48">
        <v>0</v>
      </c>
      <c r="I48">
        <v>408</v>
      </c>
      <c r="J48">
        <v>0</v>
      </c>
      <c r="K48">
        <v>6</v>
      </c>
      <c r="L48">
        <v>8</v>
      </c>
      <c r="M48">
        <v>0</v>
      </c>
      <c r="N48">
        <v>70</v>
      </c>
      <c r="O48">
        <v>1630</v>
      </c>
      <c r="P48">
        <v>1010</v>
      </c>
      <c r="Q48">
        <v>0</v>
      </c>
      <c r="R48">
        <v>0</v>
      </c>
      <c r="S48">
        <v>19100</v>
      </c>
      <c r="T48">
        <v>20006</v>
      </c>
      <c r="U48" t="s">
        <v>146</v>
      </c>
      <c r="V48" t="s">
        <v>147</v>
      </c>
      <c r="W48" t="s">
        <v>148</v>
      </c>
      <c r="X48" t="s">
        <v>149</v>
      </c>
      <c r="Y48">
        <v>0</v>
      </c>
    </row>
    <row r="49" spans="1:25" x14ac:dyDescent="0.25">
      <c r="A49" t="s">
        <v>143</v>
      </c>
      <c r="B49">
        <v>2000</v>
      </c>
      <c r="C49">
        <v>7</v>
      </c>
      <c r="D49" t="s">
        <v>144</v>
      </c>
      <c r="E49" t="s">
        <v>150</v>
      </c>
      <c r="F49">
        <v>4720</v>
      </c>
      <c r="G49">
        <v>0</v>
      </c>
      <c r="H49">
        <v>0</v>
      </c>
      <c r="I49">
        <v>472</v>
      </c>
      <c r="J49">
        <v>0</v>
      </c>
      <c r="K49">
        <v>6</v>
      </c>
      <c r="L49">
        <v>8</v>
      </c>
      <c r="M49">
        <v>0</v>
      </c>
      <c r="N49">
        <v>180</v>
      </c>
      <c r="O49">
        <v>2240</v>
      </c>
      <c r="P49">
        <v>1350</v>
      </c>
      <c r="Q49">
        <v>0</v>
      </c>
      <c r="R49">
        <v>0</v>
      </c>
      <c r="S49">
        <v>23300</v>
      </c>
      <c r="T49">
        <v>20006</v>
      </c>
      <c r="U49" t="s">
        <v>146</v>
      </c>
      <c r="V49" t="s">
        <v>147</v>
      </c>
      <c r="W49" t="s">
        <v>148</v>
      </c>
      <c r="X49" t="s">
        <v>149</v>
      </c>
      <c r="Y49">
        <v>0</v>
      </c>
    </row>
    <row r="50" spans="1:25" x14ac:dyDescent="0.25">
      <c r="A50" t="s">
        <v>143</v>
      </c>
      <c r="B50">
        <v>2000</v>
      </c>
      <c r="C50">
        <v>8</v>
      </c>
      <c r="D50" t="s">
        <v>144</v>
      </c>
      <c r="E50" t="s">
        <v>150</v>
      </c>
      <c r="F50">
        <v>5360</v>
      </c>
      <c r="G50">
        <v>0</v>
      </c>
      <c r="H50">
        <v>0</v>
      </c>
      <c r="I50">
        <v>536</v>
      </c>
      <c r="J50">
        <v>0</v>
      </c>
      <c r="K50">
        <v>6</v>
      </c>
      <c r="L50">
        <v>8</v>
      </c>
      <c r="M50">
        <v>0</v>
      </c>
      <c r="N50">
        <v>340</v>
      </c>
      <c r="O50">
        <v>3010</v>
      </c>
      <c r="P50">
        <v>1790</v>
      </c>
      <c r="Q50">
        <v>0</v>
      </c>
      <c r="R50">
        <v>0</v>
      </c>
      <c r="S50">
        <v>27900</v>
      </c>
      <c r="T50">
        <v>20006</v>
      </c>
      <c r="U50" t="s">
        <v>146</v>
      </c>
      <c r="V50" t="s">
        <v>147</v>
      </c>
      <c r="W50" t="s">
        <v>148</v>
      </c>
      <c r="X50" t="s">
        <v>149</v>
      </c>
      <c r="Y50">
        <v>0</v>
      </c>
    </row>
    <row r="51" spans="1:25" x14ac:dyDescent="0.25">
      <c r="A51" t="s">
        <v>143</v>
      </c>
      <c r="B51">
        <v>2000</v>
      </c>
      <c r="C51">
        <v>9</v>
      </c>
      <c r="D51" t="s">
        <v>144</v>
      </c>
      <c r="E51" t="s">
        <v>150</v>
      </c>
      <c r="F51">
        <v>6080</v>
      </c>
      <c r="G51">
        <v>0</v>
      </c>
      <c r="H51">
        <v>0</v>
      </c>
      <c r="I51">
        <v>608</v>
      </c>
      <c r="J51">
        <v>0</v>
      </c>
      <c r="K51">
        <v>6</v>
      </c>
      <c r="L51">
        <v>8</v>
      </c>
      <c r="M51">
        <v>0</v>
      </c>
      <c r="N51">
        <v>580</v>
      </c>
      <c r="O51">
        <v>4000</v>
      </c>
      <c r="P51">
        <v>2360</v>
      </c>
      <c r="Q51">
        <v>0</v>
      </c>
      <c r="R51">
        <v>0</v>
      </c>
      <c r="S51">
        <v>33000</v>
      </c>
      <c r="T51">
        <v>20006</v>
      </c>
      <c r="U51" t="s">
        <v>146</v>
      </c>
      <c r="V51" t="s">
        <v>147</v>
      </c>
      <c r="W51" t="s">
        <v>148</v>
      </c>
      <c r="X51" t="s">
        <v>149</v>
      </c>
      <c r="Y51">
        <v>0</v>
      </c>
    </row>
    <row r="52" spans="1:25" x14ac:dyDescent="0.25">
      <c r="A52" t="s">
        <v>143</v>
      </c>
      <c r="B52">
        <v>2000</v>
      </c>
      <c r="C52">
        <v>10</v>
      </c>
      <c r="D52" t="s">
        <v>144</v>
      </c>
      <c r="E52" t="s">
        <v>150</v>
      </c>
      <c r="F52">
        <v>6880</v>
      </c>
      <c r="G52">
        <v>0</v>
      </c>
      <c r="H52">
        <v>0</v>
      </c>
      <c r="I52">
        <v>688</v>
      </c>
      <c r="J52">
        <v>0</v>
      </c>
      <c r="K52">
        <v>6</v>
      </c>
      <c r="L52">
        <v>8</v>
      </c>
      <c r="M52">
        <v>0</v>
      </c>
      <c r="N52">
        <v>940</v>
      </c>
      <c r="O52">
        <v>5280</v>
      </c>
      <c r="P52">
        <v>3080</v>
      </c>
      <c r="Q52">
        <v>0</v>
      </c>
      <c r="R52">
        <v>0</v>
      </c>
      <c r="S52">
        <v>38600</v>
      </c>
      <c r="T52">
        <v>20006</v>
      </c>
      <c r="U52" t="s">
        <v>146</v>
      </c>
      <c r="V52" t="s">
        <v>147</v>
      </c>
      <c r="W52" t="s">
        <v>148</v>
      </c>
      <c r="X52" t="s">
        <v>149</v>
      </c>
      <c r="Y52">
        <v>0</v>
      </c>
    </row>
    <row r="53" spans="1:25" x14ac:dyDescent="0.25">
      <c r="A53" t="s">
        <v>143</v>
      </c>
      <c r="B53">
        <v>2000</v>
      </c>
      <c r="C53">
        <v>11</v>
      </c>
      <c r="D53" t="s">
        <v>144</v>
      </c>
      <c r="E53" t="s">
        <v>150</v>
      </c>
      <c r="F53">
        <v>7680</v>
      </c>
      <c r="G53">
        <v>0</v>
      </c>
      <c r="H53">
        <v>0</v>
      </c>
      <c r="I53">
        <v>768</v>
      </c>
      <c r="J53">
        <v>0</v>
      </c>
      <c r="K53">
        <v>7</v>
      </c>
      <c r="L53">
        <v>9</v>
      </c>
      <c r="M53">
        <v>0</v>
      </c>
      <c r="N53">
        <v>1470</v>
      </c>
      <c r="O53">
        <v>6910</v>
      </c>
      <c r="P53">
        <v>4010</v>
      </c>
      <c r="Q53">
        <v>130</v>
      </c>
      <c r="R53">
        <v>0</v>
      </c>
      <c r="S53">
        <v>44800</v>
      </c>
      <c r="T53">
        <v>20006</v>
      </c>
      <c r="U53" t="s">
        <v>146</v>
      </c>
      <c r="V53" t="s">
        <v>147</v>
      </c>
      <c r="W53" t="s">
        <v>148</v>
      </c>
      <c r="X53" t="s">
        <v>149</v>
      </c>
      <c r="Y53">
        <v>0</v>
      </c>
    </row>
    <row r="54" spans="1:25" x14ac:dyDescent="0.25">
      <c r="A54" t="s">
        <v>143</v>
      </c>
      <c r="B54">
        <v>2000</v>
      </c>
      <c r="C54">
        <v>12</v>
      </c>
      <c r="D54" t="s">
        <v>144</v>
      </c>
      <c r="E54" t="s">
        <v>150</v>
      </c>
      <c r="F54">
        <v>8560</v>
      </c>
      <c r="G54">
        <v>0</v>
      </c>
      <c r="H54">
        <v>0</v>
      </c>
      <c r="I54">
        <v>856</v>
      </c>
      <c r="J54">
        <v>0</v>
      </c>
      <c r="K54">
        <v>7</v>
      </c>
      <c r="L54">
        <v>9</v>
      </c>
      <c r="M54">
        <v>0</v>
      </c>
      <c r="N54">
        <v>2260</v>
      </c>
      <c r="O54">
        <v>9020</v>
      </c>
      <c r="P54">
        <v>5200</v>
      </c>
      <c r="Q54">
        <v>270</v>
      </c>
      <c r="R54">
        <v>0</v>
      </c>
      <c r="S54">
        <v>51600</v>
      </c>
      <c r="T54">
        <v>20006</v>
      </c>
      <c r="U54" t="s">
        <v>146</v>
      </c>
      <c r="V54" t="s">
        <v>147</v>
      </c>
      <c r="W54" t="s">
        <v>148</v>
      </c>
      <c r="X54" t="s">
        <v>149</v>
      </c>
      <c r="Y54">
        <v>0</v>
      </c>
    </row>
    <row r="55" spans="1:25" x14ac:dyDescent="0.25">
      <c r="A55" t="s">
        <v>143</v>
      </c>
      <c r="B55">
        <v>2000</v>
      </c>
      <c r="C55">
        <v>13</v>
      </c>
      <c r="D55" t="s">
        <v>144</v>
      </c>
      <c r="E55" t="s">
        <v>150</v>
      </c>
      <c r="F55">
        <v>9520</v>
      </c>
      <c r="G55">
        <v>0</v>
      </c>
      <c r="H55">
        <v>0</v>
      </c>
      <c r="I55">
        <v>952</v>
      </c>
      <c r="J55">
        <v>0</v>
      </c>
      <c r="K55">
        <v>7</v>
      </c>
      <c r="L55">
        <v>9</v>
      </c>
      <c r="M55">
        <v>0</v>
      </c>
      <c r="N55">
        <v>3450</v>
      </c>
      <c r="O55">
        <v>11720</v>
      </c>
      <c r="P55">
        <v>6740</v>
      </c>
      <c r="Q55">
        <v>420</v>
      </c>
      <c r="R55">
        <v>0</v>
      </c>
      <c r="S55">
        <v>59200</v>
      </c>
      <c r="T55">
        <v>20006</v>
      </c>
      <c r="U55" t="s">
        <v>146</v>
      </c>
      <c r="V55" t="s">
        <v>147</v>
      </c>
      <c r="W55" t="s">
        <v>148</v>
      </c>
      <c r="X55" t="s">
        <v>149</v>
      </c>
      <c r="Y55">
        <v>0</v>
      </c>
    </row>
    <row r="56" spans="1:25" x14ac:dyDescent="0.25">
      <c r="A56" t="s">
        <v>143</v>
      </c>
      <c r="B56">
        <v>2000</v>
      </c>
      <c r="C56">
        <v>14</v>
      </c>
      <c r="D56" t="s">
        <v>144</v>
      </c>
      <c r="E56" t="s">
        <v>150</v>
      </c>
      <c r="F56">
        <v>10480</v>
      </c>
      <c r="G56">
        <v>0</v>
      </c>
      <c r="H56">
        <v>0</v>
      </c>
      <c r="I56">
        <v>1048</v>
      </c>
      <c r="J56">
        <v>0</v>
      </c>
      <c r="K56">
        <v>7</v>
      </c>
      <c r="L56">
        <v>9</v>
      </c>
      <c r="M56">
        <v>0</v>
      </c>
      <c r="N56">
        <v>5220</v>
      </c>
      <c r="O56">
        <v>15180</v>
      </c>
      <c r="P56">
        <v>8710</v>
      </c>
      <c r="Q56">
        <v>600</v>
      </c>
      <c r="R56">
        <v>0</v>
      </c>
      <c r="S56">
        <v>67600</v>
      </c>
      <c r="T56">
        <v>20006</v>
      </c>
      <c r="U56" t="s">
        <v>146</v>
      </c>
      <c r="V56" t="s">
        <v>147</v>
      </c>
      <c r="W56" t="s">
        <v>148</v>
      </c>
      <c r="X56" t="s">
        <v>149</v>
      </c>
      <c r="Y56">
        <v>0</v>
      </c>
    </row>
    <row r="57" spans="1:25" x14ac:dyDescent="0.25">
      <c r="A57" t="s">
        <v>143</v>
      </c>
      <c r="B57">
        <v>2000</v>
      </c>
      <c r="C57">
        <v>15</v>
      </c>
      <c r="D57" t="s">
        <v>144</v>
      </c>
      <c r="E57" t="s">
        <v>150</v>
      </c>
      <c r="F57">
        <v>11600</v>
      </c>
      <c r="G57">
        <v>0</v>
      </c>
      <c r="H57">
        <v>0</v>
      </c>
      <c r="I57">
        <v>1160</v>
      </c>
      <c r="J57">
        <v>0</v>
      </c>
      <c r="K57">
        <v>8</v>
      </c>
      <c r="L57">
        <v>10</v>
      </c>
      <c r="M57">
        <v>0</v>
      </c>
      <c r="N57">
        <v>7850</v>
      </c>
      <c r="O57">
        <v>19630</v>
      </c>
      <c r="P57">
        <v>11230</v>
      </c>
      <c r="Q57">
        <v>790</v>
      </c>
      <c r="R57">
        <v>0</v>
      </c>
      <c r="S57">
        <v>76800</v>
      </c>
      <c r="T57">
        <v>20006</v>
      </c>
      <c r="U57" t="s">
        <v>146</v>
      </c>
      <c r="V57" t="s">
        <v>147</v>
      </c>
      <c r="W57" t="s">
        <v>148</v>
      </c>
      <c r="X57" t="s">
        <v>149</v>
      </c>
      <c r="Y57">
        <v>0</v>
      </c>
    </row>
    <row r="59" spans="1:25" x14ac:dyDescent="0.25">
      <c r="A59" t="s">
        <v>203</v>
      </c>
      <c r="B59" t="s">
        <v>201</v>
      </c>
      <c r="C59">
        <v>15</v>
      </c>
      <c r="K59" t="s">
        <v>1</v>
      </c>
      <c r="L59" t="s">
        <v>2</v>
      </c>
      <c r="M59" t="s">
        <v>194</v>
      </c>
      <c r="N59" t="s">
        <v>204</v>
      </c>
      <c r="O59" t="s">
        <v>205</v>
      </c>
    </row>
    <row r="60" spans="1:25" x14ac:dyDescent="0.25">
      <c r="A60" t="s">
        <v>203</v>
      </c>
      <c r="B60" t="s">
        <v>202</v>
      </c>
      <c r="C60">
        <v>1</v>
      </c>
      <c r="H60" t="s">
        <v>132</v>
      </c>
      <c r="K60">
        <v>0.4</v>
      </c>
      <c r="L60">
        <v>-7</v>
      </c>
      <c r="M60">
        <v>5000</v>
      </c>
    </row>
    <row r="61" spans="1:25" x14ac:dyDescent="0.25">
      <c r="A61" t="s">
        <v>203</v>
      </c>
      <c r="B61" t="s">
        <v>128</v>
      </c>
      <c r="C61" t="s">
        <v>116</v>
      </c>
      <c r="H61" t="s">
        <v>133</v>
      </c>
      <c r="K61">
        <v>0.25</v>
      </c>
      <c r="L61">
        <v>70</v>
      </c>
      <c r="M61">
        <v>8000</v>
      </c>
    </row>
    <row r="62" spans="1:25" x14ac:dyDescent="0.25">
      <c r="A62" t="s">
        <v>203</v>
      </c>
      <c r="H62" t="s">
        <v>198</v>
      </c>
      <c r="K62">
        <v>0.23</v>
      </c>
      <c r="L62">
        <v>80</v>
      </c>
      <c r="M62">
        <v>12000</v>
      </c>
    </row>
    <row r="63" spans="1:25" x14ac:dyDescent="0.25">
      <c r="A63" t="s">
        <v>203</v>
      </c>
      <c r="H63" t="s">
        <v>135</v>
      </c>
      <c r="K63">
        <v>0.15</v>
      </c>
      <c r="L63">
        <v>-9</v>
      </c>
      <c r="M63">
        <v>1000</v>
      </c>
    </row>
    <row r="64" spans="1:25" x14ac:dyDescent="0.25">
      <c r="A64" t="s">
        <v>203</v>
      </c>
      <c r="H64" t="s">
        <v>136</v>
      </c>
      <c r="K64">
        <v>0</v>
      </c>
      <c r="L64">
        <v>0</v>
      </c>
      <c r="M64">
        <v>0</v>
      </c>
    </row>
    <row r="65" spans="1:25" x14ac:dyDescent="0.25">
      <c r="A65" t="s">
        <v>203</v>
      </c>
      <c r="H65" t="s">
        <v>69</v>
      </c>
      <c r="K65">
        <v>0.42</v>
      </c>
      <c r="L65" s="3">
        <v>300</v>
      </c>
      <c r="M65" s="3">
        <v>93600</v>
      </c>
      <c r="N65" s="13" t="s">
        <v>71</v>
      </c>
      <c r="O65" s="13" t="s">
        <v>228</v>
      </c>
    </row>
    <row r="66" spans="1:25" x14ac:dyDescent="0.25">
      <c r="A66" t="s">
        <v>203</v>
      </c>
      <c r="H66" t="s">
        <v>142</v>
      </c>
      <c r="K66">
        <v>2.5000000000000001E-2</v>
      </c>
      <c r="L66">
        <v>20</v>
      </c>
      <c r="M66">
        <v>750</v>
      </c>
    </row>
    <row r="68" spans="1:25" x14ac:dyDescent="0.25">
      <c r="A68" t="s">
        <v>151</v>
      </c>
      <c r="B68">
        <v>2106</v>
      </c>
      <c r="C68">
        <v>0</v>
      </c>
      <c r="D68" t="s">
        <v>144</v>
      </c>
      <c r="E68" t="s">
        <v>145</v>
      </c>
      <c r="F68">
        <v>500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 t="s">
        <v>146</v>
      </c>
      <c r="V68" t="s">
        <v>147</v>
      </c>
      <c r="W68" t="s">
        <v>148</v>
      </c>
      <c r="X68" t="s">
        <v>149</v>
      </c>
      <c r="Y68">
        <v>0</v>
      </c>
    </row>
    <row r="69" spans="1:25" x14ac:dyDescent="0.25">
      <c r="A69" t="s">
        <v>151</v>
      </c>
      <c r="B69">
        <v>2106</v>
      </c>
      <c r="C69">
        <v>1</v>
      </c>
      <c r="D69" t="s">
        <v>144</v>
      </c>
      <c r="E69" t="s">
        <v>152</v>
      </c>
      <c r="F69">
        <v>800</v>
      </c>
      <c r="G69">
        <v>0</v>
      </c>
      <c r="H69">
        <v>0</v>
      </c>
      <c r="I69">
        <v>100</v>
      </c>
      <c r="J69">
        <v>0</v>
      </c>
      <c r="K69">
        <v>11</v>
      </c>
      <c r="L69">
        <v>3</v>
      </c>
      <c r="M69">
        <v>0</v>
      </c>
      <c r="N69">
        <v>0</v>
      </c>
      <c r="O69">
        <v>70</v>
      </c>
      <c r="P69">
        <v>80</v>
      </c>
      <c r="Q69">
        <v>0</v>
      </c>
      <c r="R69">
        <v>0</v>
      </c>
      <c r="S69">
        <v>300</v>
      </c>
      <c r="T69">
        <v>21031</v>
      </c>
      <c r="U69" t="s">
        <v>146</v>
      </c>
      <c r="V69" t="s">
        <v>147</v>
      </c>
      <c r="W69" t="s">
        <v>148</v>
      </c>
      <c r="X69" t="s">
        <v>149</v>
      </c>
      <c r="Y69">
        <v>20</v>
      </c>
    </row>
    <row r="70" spans="1:25" x14ac:dyDescent="0.25">
      <c r="A70" t="s">
        <v>151</v>
      </c>
      <c r="B70">
        <v>2106</v>
      </c>
      <c r="C70">
        <v>2</v>
      </c>
      <c r="D70" t="s">
        <v>144</v>
      </c>
      <c r="E70" t="s">
        <v>152</v>
      </c>
      <c r="F70">
        <v>1000</v>
      </c>
      <c r="G70">
        <v>0</v>
      </c>
      <c r="H70">
        <v>0</v>
      </c>
      <c r="I70">
        <v>125</v>
      </c>
      <c r="J70">
        <v>0</v>
      </c>
      <c r="K70">
        <v>11</v>
      </c>
      <c r="L70">
        <v>3</v>
      </c>
      <c r="M70">
        <v>0</v>
      </c>
      <c r="N70">
        <v>0</v>
      </c>
      <c r="O70">
        <v>140</v>
      </c>
      <c r="P70">
        <v>200</v>
      </c>
      <c r="Q70">
        <v>0</v>
      </c>
      <c r="R70">
        <v>0</v>
      </c>
      <c r="S70">
        <v>440</v>
      </c>
      <c r="T70">
        <v>21031</v>
      </c>
      <c r="U70" t="s">
        <v>146</v>
      </c>
      <c r="V70" t="s">
        <v>147</v>
      </c>
      <c r="W70" t="s">
        <v>148</v>
      </c>
      <c r="X70" t="s">
        <v>149</v>
      </c>
      <c r="Y70">
        <v>34</v>
      </c>
    </row>
    <row r="71" spans="1:25" x14ac:dyDescent="0.25">
      <c r="A71" t="s">
        <v>151</v>
      </c>
      <c r="B71">
        <v>2106</v>
      </c>
      <c r="C71">
        <v>3</v>
      </c>
      <c r="D71" t="s">
        <v>144</v>
      </c>
      <c r="E71" t="s">
        <v>152</v>
      </c>
      <c r="F71">
        <v>1240</v>
      </c>
      <c r="G71">
        <v>0</v>
      </c>
      <c r="H71">
        <v>0</v>
      </c>
      <c r="I71">
        <v>155</v>
      </c>
      <c r="J71">
        <v>0</v>
      </c>
      <c r="K71">
        <v>11</v>
      </c>
      <c r="L71">
        <v>3</v>
      </c>
      <c r="M71">
        <v>0</v>
      </c>
      <c r="N71">
        <v>0</v>
      </c>
      <c r="O71">
        <v>230</v>
      </c>
      <c r="P71">
        <v>360</v>
      </c>
      <c r="Q71">
        <v>0</v>
      </c>
      <c r="R71">
        <v>0</v>
      </c>
      <c r="S71">
        <v>650</v>
      </c>
      <c r="T71">
        <v>21031</v>
      </c>
      <c r="U71" t="s">
        <v>146</v>
      </c>
      <c r="V71" t="s">
        <v>147</v>
      </c>
      <c r="W71" t="s">
        <v>148</v>
      </c>
      <c r="X71" t="s">
        <v>149</v>
      </c>
      <c r="Y71">
        <v>48</v>
      </c>
    </row>
    <row r="72" spans="1:25" x14ac:dyDescent="0.25">
      <c r="A72" t="s">
        <v>151</v>
      </c>
      <c r="B72">
        <v>2106</v>
      </c>
      <c r="C72">
        <v>4</v>
      </c>
      <c r="D72" t="s">
        <v>144</v>
      </c>
      <c r="E72" t="s">
        <v>152</v>
      </c>
      <c r="F72">
        <v>1520</v>
      </c>
      <c r="G72">
        <v>0</v>
      </c>
      <c r="H72">
        <v>0</v>
      </c>
      <c r="I72">
        <v>190</v>
      </c>
      <c r="J72">
        <v>0</v>
      </c>
      <c r="K72">
        <v>11</v>
      </c>
      <c r="L72">
        <v>3</v>
      </c>
      <c r="M72">
        <v>0</v>
      </c>
      <c r="N72">
        <v>0</v>
      </c>
      <c r="O72">
        <v>340</v>
      </c>
      <c r="P72">
        <v>560</v>
      </c>
      <c r="Q72">
        <v>0</v>
      </c>
      <c r="R72">
        <v>0</v>
      </c>
      <c r="S72">
        <v>960</v>
      </c>
      <c r="T72">
        <v>21031</v>
      </c>
      <c r="U72" t="s">
        <v>146</v>
      </c>
      <c r="V72" t="s">
        <v>147</v>
      </c>
      <c r="W72" t="s">
        <v>148</v>
      </c>
      <c r="X72" t="s">
        <v>149</v>
      </c>
      <c r="Y72">
        <v>62</v>
      </c>
    </row>
    <row r="73" spans="1:25" x14ac:dyDescent="0.25">
      <c r="A73" t="s">
        <v>151</v>
      </c>
      <c r="B73">
        <v>2106</v>
      </c>
      <c r="C73">
        <v>5</v>
      </c>
      <c r="D73" t="s">
        <v>144</v>
      </c>
      <c r="E73" t="s">
        <v>152</v>
      </c>
      <c r="F73">
        <v>1760</v>
      </c>
      <c r="G73">
        <v>0</v>
      </c>
      <c r="H73">
        <v>0</v>
      </c>
      <c r="I73">
        <v>220</v>
      </c>
      <c r="J73">
        <v>0</v>
      </c>
      <c r="K73">
        <v>11</v>
      </c>
      <c r="L73">
        <v>3</v>
      </c>
      <c r="M73">
        <v>0</v>
      </c>
      <c r="N73">
        <v>0</v>
      </c>
      <c r="O73">
        <v>490</v>
      </c>
      <c r="P73">
        <v>810</v>
      </c>
      <c r="Q73">
        <v>0</v>
      </c>
      <c r="R73">
        <v>0</v>
      </c>
      <c r="S73">
        <v>1450</v>
      </c>
      <c r="T73">
        <v>21032</v>
      </c>
      <c r="U73" t="s">
        <v>146</v>
      </c>
      <c r="V73" t="s">
        <v>147</v>
      </c>
      <c r="W73" t="s">
        <v>148</v>
      </c>
      <c r="X73" t="s">
        <v>149</v>
      </c>
      <c r="Y73">
        <v>77</v>
      </c>
    </row>
    <row r="74" spans="1:25" x14ac:dyDescent="0.25">
      <c r="A74" t="s">
        <v>151</v>
      </c>
      <c r="B74">
        <v>2106</v>
      </c>
      <c r="C74">
        <v>6</v>
      </c>
      <c r="D74" t="s">
        <v>144</v>
      </c>
      <c r="E74" t="s">
        <v>152</v>
      </c>
      <c r="F74">
        <v>2040</v>
      </c>
      <c r="G74">
        <v>0</v>
      </c>
      <c r="H74">
        <v>0</v>
      </c>
      <c r="I74">
        <v>255</v>
      </c>
      <c r="J74">
        <v>0</v>
      </c>
      <c r="K74">
        <v>12</v>
      </c>
      <c r="L74">
        <v>4</v>
      </c>
      <c r="M74">
        <v>0</v>
      </c>
      <c r="N74">
        <v>0</v>
      </c>
      <c r="O74">
        <v>680</v>
      </c>
      <c r="P74">
        <v>1120</v>
      </c>
      <c r="Q74">
        <v>0</v>
      </c>
      <c r="R74">
        <v>0</v>
      </c>
      <c r="S74">
        <v>2180</v>
      </c>
      <c r="T74">
        <v>21032</v>
      </c>
      <c r="U74" t="s">
        <v>146</v>
      </c>
      <c r="V74" t="s">
        <v>147</v>
      </c>
      <c r="W74" t="s">
        <v>148</v>
      </c>
      <c r="X74" t="s">
        <v>149</v>
      </c>
      <c r="Y74">
        <v>92</v>
      </c>
    </row>
    <row r="75" spans="1:25" x14ac:dyDescent="0.25">
      <c r="A75" t="s">
        <v>151</v>
      </c>
      <c r="B75">
        <v>2106</v>
      </c>
      <c r="C75">
        <v>7</v>
      </c>
      <c r="D75" t="s">
        <v>144</v>
      </c>
      <c r="E75" t="s">
        <v>152</v>
      </c>
      <c r="F75">
        <v>2360</v>
      </c>
      <c r="G75">
        <v>0</v>
      </c>
      <c r="H75">
        <v>0</v>
      </c>
      <c r="I75">
        <v>295</v>
      </c>
      <c r="J75">
        <v>0</v>
      </c>
      <c r="K75">
        <v>12</v>
      </c>
      <c r="L75">
        <v>4</v>
      </c>
      <c r="M75">
        <v>0</v>
      </c>
      <c r="N75">
        <v>0</v>
      </c>
      <c r="O75">
        <v>920</v>
      </c>
      <c r="P75">
        <v>1520</v>
      </c>
      <c r="Q75">
        <v>0</v>
      </c>
      <c r="R75">
        <v>0</v>
      </c>
      <c r="S75">
        <v>3300</v>
      </c>
      <c r="T75">
        <v>21032</v>
      </c>
      <c r="U75" t="s">
        <v>146</v>
      </c>
      <c r="V75" t="s">
        <v>147</v>
      </c>
      <c r="W75" t="s">
        <v>148</v>
      </c>
      <c r="X75" t="s">
        <v>149</v>
      </c>
      <c r="Y75">
        <v>108</v>
      </c>
    </row>
    <row r="76" spans="1:25" x14ac:dyDescent="0.25">
      <c r="A76" t="s">
        <v>151</v>
      </c>
      <c r="B76">
        <v>2106</v>
      </c>
      <c r="C76">
        <v>8</v>
      </c>
      <c r="D76" t="s">
        <v>144</v>
      </c>
      <c r="E76" t="s">
        <v>152</v>
      </c>
      <c r="F76">
        <v>2680</v>
      </c>
      <c r="G76">
        <v>0</v>
      </c>
      <c r="H76">
        <v>0</v>
      </c>
      <c r="I76">
        <v>335</v>
      </c>
      <c r="J76">
        <v>0</v>
      </c>
      <c r="K76">
        <v>12</v>
      </c>
      <c r="L76">
        <v>4</v>
      </c>
      <c r="M76">
        <v>0</v>
      </c>
      <c r="N76">
        <v>100</v>
      </c>
      <c r="O76">
        <v>1230</v>
      </c>
      <c r="P76">
        <v>2010</v>
      </c>
      <c r="Q76">
        <v>0</v>
      </c>
      <c r="R76">
        <v>0</v>
      </c>
      <c r="S76">
        <v>5000</v>
      </c>
      <c r="T76">
        <v>21032</v>
      </c>
      <c r="U76" t="s">
        <v>146</v>
      </c>
      <c r="V76" t="s">
        <v>147</v>
      </c>
      <c r="W76" t="s">
        <v>148</v>
      </c>
      <c r="X76" t="s">
        <v>149</v>
      </c>
      <c r="Y76">
        <v>124</v>
      </c>
    </row>
    <row r="77" spans="1:25" x14ac:dyDescent="0.25">
      <c r="A77" t="s">
        <v>151</v>
      </c>
      <c r="B77">
        <v>2106</v>
      </c>
      <c r="C77">
        <v>9</v>
      </c>
      <c r="D77" t="s">
        <v>144</v>
      </c>
      <c r="E77" t="s">
        <v>152</v>
      </c>
      <c r="F77">
        <v>3040</v>
      </c>
      <c r="G77">
        <v>0</v>
      </c>
      <c r="H77">
        <v>0</v>
      </c>
      <c r="I77">
        <v>380</v>
      </c>
      <c r="J77">
        <v>0</v>
      </c>
      <c r="K77">
        <v>12</v>
      </c>
      <c r="L77">
        <v>4</v>
      </c>
      <c r="M77">
        <v>0</v>
      </c>
      <c r="N77">
        <v>250</v>
      </c>
      <c r="O77">
        <v>1630</v>
      </c>
      <c r="P77">
        <v>2640</v>
      </c>
      <c r="Q77">
        <v>0</v>
      </c>
      <c r="R77">
        <v>0</v>
      </c>
      <c r="S77">
        <v>7590</v>
      </c>
      <c r="T77">
        <v>21032</v>
      </c>
      <c r="U77" t="s">
        <v>146</v>
      </c>
      <c r="V77" t="s">
        <v>147</v>
      </c>
      <c r="W77" t="s">
        <v>148</v>
      </c>
      <c r="X77" t="s">
        <v>149</v>
      </c>
      <c r="Y77">
        <v>140</v>
      </c>
    </row>
    <row r="78" spans="1:25" x14ac:dyDescent="0.25">
      <c r="A78" t="s">
        <v>151</v>
      </c>
      <c r="B78">
        <v>2106</v>
      </c>
      <c r="C78">
        <v>10</v>
      </c>
      <c r="D78" t="s">
        <v>144</v>
      </c>
      <c r="E78" t="s">
        <v>152</v>
      </c>
      <c r="F78">
        <v>3440</v>
      </c>
      <c r="G78">
        <v>0</v>
      </c>
      <c r="H78">
        <v>0</v>
      </c>
      <c r="I78">
        <v>430</v>
      </c>
      <c r="J78">
        <v>0</v>
      </c>
      <c r="K78">
        <v>12</v>
      </c>
      <c r="L78">
        <v>4</v>
      </c>
      <c r="M78">
        <v>0</v>
      </c>
      <c r="N78">
        <v>470</v>
      </c>
      <c r="O78">
        <v>2140</v>
      </c>
      <c r="P78">
        <v>3420</v>
      </c>
      <c r="Q78">
        <v>70</v>
      </c>
      <c r="R78">
        <v>0</v>
      </c>
      <c r="S78">
        <v>11540</v>
      </c>
      <c r="T78">
        <v>21032</v>
      </c>
      <c r="U78" t="s">
        <v>146</v>
      </c>
      <c r="V78" t="s">
        <v>147</v>
      </c>
      <c r="W78" t="s">
        <v>148</v>
      </c>
      <c r="X78" t="s">
        <v>149</v>
      </c>
      <c r="Y78">
        <v>157</v>
      </c>
    </row>
    <row r="79" spans="1:25" x14ac:dyDescent="0.25">
      <c r="A79" t="s">
        <v>151</v>
      </c>
      <c r="B79">
        <v>2106</v>
      </c>
      <c r="C79">
        <v>11</v>
      </c>
      <c r="D79" t="s">
        <v>144</v>
      </c>
      <c r="E79" t="s">
        <v>152</v>
      </c>
      <c r="F79">
        <v>3840</v>
      </c>
      <c r="G79">
        <v>0</v>
      </c>
      <c r="H79">
        <v>0</v>
      </c>
      <c r="I79">
        <v>480</v>
      </c>
      <c r="J79">
        <v>0</v>
      </c>
      <c r="K79">
        <v>13</v>
      </c>
      <c r="L79">
        <v>5</v>
      </c>
      <c r="M79">
        <v>0</v>
      </c>
      <c r="N79">
        <v>810</v>
      </c>
      <c r="O79">
        <v>2800</v>
      </c>
      <c r="P79">
        <v>4410</v>
      </c>
      <c r="Q79">
        <v>140</v>
      </c>
      <c r="R79">
        <v>0</v>
      </c>
      <c r="S79">
        <v>17540</v>
      </c>
      <c r="T79">
        <v>21032</v>
      </c>
      <c r="U79" t="s">
        <v>146</v>
      </c>
      <c r="V79" t="s">
        <v>147</v>
      </c>
      <c r="W79" t="s">
        <v>148</v>
      </c>
      <c r="X79" t="s">
        <v>149</v>
      </c>
      <c r="Y79">
        <v>174</v>
      </c>
    </row>
    <row r="80" spans="1:25" x14ac:dyDescent="0.25">
      <c r="A80" t="s">
        <v>151</v>
      </c>
      <c r="B80">
        <v>2106</v>
      </c>
      <c r="C80">
        <v>12</v>
      </c>
      <c r="D80" t="s">
        <v>144</v>
      </c>
      <c r="E80" t="s">
        <v>152</v>
      </c>
      <c r="F80">
        <v>4280</v>
      </c>
      <c r="G80">
        <v>0</v>
      </c>
      <c r="H80">
        <v>0</v>
      </c>
      <c r="I80">
        <v>535</v>
      </c>
      <c r="J80">
        <v>0</v>
      </c>
      <c r="K80">
        <v>13</v>
      </c>
      <c r="L80">
        <v>5</v>
      </c>
      <c r="M80">
        <v>0</v>
      </c>
      <c r="N80">
        <v>1300</v>
      </c>
      <c r="O80">
        <v>3640</v>
      </c>
      <c r="P80">
        <v>5660</v>
      </c>
      <c r="Q80">
        <v>230</v>
      </c>
      <c r="R80">
        <v>0</v>
      </c>
      <c r="S80">
        <v>26670</v>
      </c>
      <c r="T80">
        <v>21032</v>
      </c>
      <c r="U80" t="s">
        <v>146</v>
      </c>
      <c r="V80" t="s">
        <v>147</v>
      </c>
      <c r="W80" t="s">
        <v>148</v>
      </c>
      <c r="X80" t="s">
        <v>149</v>
      </c>
      <c r="Y80">
        <v>192</v>
      </c>
    </row>
    <row r="81" spans="1:25" x14ac:dyDescent="0.25">
      <c r="A81" t="s">
        <v>151</v>
      </c>
      <c r="B81">
        <v>2106</v>
      </c>
      <c r="C81">
        <v>13</v>
      </c>
      <c r="D81" t="s">
        <v>144</v>
      </c>
      <c r="E81" t="s">
        <v>152</v>
      </c>
      <c r="F81">
        <v>4760</v>
      </c>
      <c r="G81">
        <v>0</v>
      </c>
      <c r="H81">
        <v>0</v>
      </c>
      <c r="I81">
        <v>595</v>
      </c>
      <c r="J81">
        <v>0</v>
      </c>
      <c r="K81">
        <v>13</v>
      </c>
      <c r="L81">
        <v>5</v>
      </c>
      <c r="M81">
        <v>0</v>
      </c>
      <c r="N81">
        <v>2040</v>
      </c>
      <c r="O81">
        <v>4720</v>
      </c>
      <c r="P81">
        <v>7220</v>
      </c>
      <c r="Q81">
        <v>330</v>
      </c>
      <c r="R81">
        <v>0</v>
      </c>
      <c r="S81">
        <v>40580</v>
      </c>
      <c r="T81">
        <v>21032</v>
      </c>
      <c r="U81" t="s">
        <v>146</v>
      </c>
      <c r="V81" t="s">
        <v>147</v>
      </c>
      <c r="W81" t="s">
        <v>148</v>
      </c>
      <c r="X81" t="s">
        <v>149</v>
      </c>
      <c r="Y81">
        <v>210</v>
      </c>
    </row>
    <row r="82" spans="1:25" x14ac:dyDescent="0.25">
      <c r="A82" t="s">
        <v>151</v>
      </c>
      <c r="B82">
        <v>2106</v>
      </c>
      <c r="C82">
        <v>14</v>
      </c>
      <c r="D82" t="s">
        <v>144</v>
      </c>
      <c r="E82" t="s">
        <v>152</v>
      </c>
      <c r="F82">
        <v>5240</v>
      </c>
      <c r="G82">
        <v>0</v>
      </c>
      <c r="H82">
        <v>0</v>
      </c>
      <c r="I82">
        <v>655</v>
      </c>
      <c r="J82">
        <v>0</v>
      </c>
      <c r="K82">
        <v>13</v>
      </c>
      <c r="L82">
        <v>5</v>
      </c>
      <c r="M82">
        <v>0</v>
      </c>
      <c r="N82">
        <v>3150</v>
      </c>
      <c r="O82">
        <v>6110</v>
      </c>
      <c r="P82">
        <v>9200</v>
      </c>
      <c r="Q82">
        <v>450</v>
      </c>
      <c r="R82">
        <v>0</v>
      </c>
      <c r="S82">
        <v>61730</v>
      </c>
      <c r="T82">
        <v>21032</v>
      </c>
      <c r="U82" t="s">
        <v>146</v>
      </c>
      <c r="V82" t="s">
        <v>147</v>
      </c>
      <c r="W82" t="s">
        <v>148</v>
      </c>
      <c r="X82" t="s">
        <v>149</v>
      </c>
      <c r="Y82">
        <v>228</v>
      </c>
    </row>
    <row r="83" spans="1:25" x14ac:dyDescent="0.25">
      <c r="A83" t="s">
        <v>151</v>
      </c>
      <c r="B83">
        <v>2106</v>
      </c>
      <c r="C83">
        <v>15</v>
      </c>
      <c r="D83" t="s">
        <v>144</v>
      </c>
      <c r="E83" t="s">
        <v>152</v>
      </c>
      <c r="F83">
        <v>5800</v>
      </c>
      <c r="G83">
        <v>0</v>
      </c>
      <c r="H83">
        <v>0</v>
      </c>
      <c r="I83">
        <v>725</v>
      </c>
      <c r="J83">
        <v>0</v>
      </c>
      <c r="K83">
        <v>14</v>
      </c>
      <c r="L83">
        <v>6</v>
      </c>
      <c r="M83">
        <v>0</v>
      </c>
      <c r="N83">
        <v>4800</v>
      </c>
      <c r="O83">
        <v>7900</v>
      </c>
      <c r="P83">
        <v>11680</v>
      </c>
      <c r="Q83">
        <v>590</v>
      </c>
      <c r="R83">
        <v>0</v>
      </c>
      <c r="S83">
        <v>93940</v>
      </c>
      <c r="T83">
        <v>21032</v>
      </c>
      <c r="U83" t="s">
        <v>146</v>
      </c>
      <c r="V83" t="s">
        <v>147</v>
      </c>
      <c r="W83" t="s">
        <v>148</v>
      </c>
      <c r="X83" t="s">
        <v>149</v>
      </c>
      <c r="Y83">
        <v>247</v>
      </c>
    </row>
    <row r="85" spans="1:25" x14ac:dyDescent="0.25">
      <c r="A85" t="s">
        <v>203</v>
      </c>
      <c r="B85" t="s">
        <v>201</v>
      </c>
      <c r="C85">
        <v>15</v>
      </c>
      <c r="K85" t="s">
        <v>1</v>
      </c>
      <c r="L85" t="s">
        <v>2</v>
      </c>
      <c r="M85" t="s">
        <v>194</v>
      </c>
      <c r="N85" t="s">
        <v>204</v>
      </c>
      <c r="O85" t="s">
        <v>205</v>
      </c>
    </row>
    <row r="86" spans="1:25" x14ac:dyDescent="0.25">
      <c r="A86" t="s">
        <v>203</v>
      </c>
      <c r="B86" t="s">
        <v>202</v>
      </c>
      <c r="C86">
        <v>1</v>
      </c>
      <c r="H86" t="s">
        <v>132</v>
      </c>
      <c r="K86">
        <v>0.15</v>
      </c>
      <c r="L86">
        <v>-7</v>
      </c>
      <c r="M86">
        <v>4000</v>
      </c>
    </row>
    <row r="87" spans="1:25" x14ac:dyDescent="0.25">
      <c r="A87" t="s">
        <v>203</v>
      </c>
      <c r="B87" t="s">
        <v>128</v>
      </c>
      <c r="C87" t="s">
        <v>116</v>
      </c>
      <c r="H87" t="s">
        <v>133</v>
      </c>
      <c r="K87">
        <v>0.25</v>
      </c>
      <c r="L87">
        <v>90</v>
      </c>
      <c r="M87">
        <v>12000</v>
      </c>
    </row>
    <row r="88" spans="1:25" x14ac:dyDescent="0.25">
      <c r="A88" t="s">
        <v>203</v>
      </c>
      <c r="H88" t="s">
        <v>198</v>
      </c>
      <c r="K88">
        <v>0.28000000000000003</v>
      </c>
      <c r="L88">
        <v>55</v>
      </c>
      <c r="M88">
        <v>9000</v>
      </c>
    </row>
    <row r="89" spans="1:25" x14ac:dyDescent="0.25">
      <c r="A89" t="s">
        <v>203</v>
      </c>
      <c r="H89" t="s">
        <v>135</v>
      </c>
      <c r="K89">
        <v>0.15</v>
      </c>
      <c r="L89">
        <v>-9</v>
      </c>
      <c r="M89">
        <v>2000</v>
      </c>
    </row>
    <row r="90" spans="1:25" x14ac:dyDescent="0.25">
      <c r="A90" t="s">
        <v>203</v>
      </c>
      <c r="H90" t="s">
        <v>136</v>
      </c>
      <c r="K90">
        <v>0</v>
      </c>
      <c r="L90">
        <v>0</v>
      </c>
      <c r="M90">
        <v>0</v>
      </c>
    </row>
    <row r="91" spans="1:25" x14ac:dyDescent="0.25">
      <c r="A91" t="s">
        <v>203</v>
      </c>
      <c r="H91" t="s">
        <v>69</v>
      </c>
      <c r="K91">
        <v>0.42</v>
      </c>
      <c r="L91" s="3">
        <v>300</v>
      </c>
      <c r="M91" s="3">
        <v>93600</v>
      </c>
      <c r="N91" s="13" t="s">
        <v>71</v>
      </c>
      <c r="O91" s="13" t="s">
        <v>228</v>
      </c>
    </row>
    <row r="92" spans="1:25" x14ac:dyDescent="0.25">
      <c r="L92" s="3"/>
      <c r="M92" s="3"/>
    </row>
    <row r="93" spans="1:25" x14ac:dyDescent="0.25">
      <c r="A93" t="s">
        <v>153</v>
      </c>
      <c r="B93">
        <v>2107</v>
      </c>
      <c r="C93">
        <v>0</v>
      </c>
      <c r="D93" t="s">
        <v>144</v>
      </c>
      <c r="E93" t="s">
        <v>145</v>
      </c>
      <c r="F93">
        <v>500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 t="s">
        <v>146</v>
      </c>
      <c r="V93" t="s">
        <v>147</v>
      </c>
      <c r="W93" t="s">
        <v>148</v>
      </c>
      <c r="X93" t="s">
        <v>149</v>
      </c>
      <c r="Y93">
        <v>0</v>
      </c>
    </row>
    <row r="94" spans="1:25" x14ac:dyDescent="0.25">
      <c r="A94" t="s">
        <v>153</v>
      </c>
      <c r="B94">
        <v>2107</v>
      </c>
      <c r="C94">
        <v>1</v>
      </c>
      <c r="D94" t="s">
        <v>144</v>
      </c>
      <c r="E94" t="s">
        <v>154</v>
      </c>
      <c r="F94">
        <v>800</v>
      </c>
      <c r="G94">
        <v>0</v>
      </c>
      <c r="H94">
        <v>0</v>
      </c>
      <c r="I94">
        <v>100</v>
      </c>
      <c r="J94">
        <v>0</v>
      </c>
      <c r="K94">
        <v>11</v>
      </c>
      <c r="L94">
        <v>3</v>
      </c>
      <c r="M94">
        <v>0</v>
      </c>
      <c r="N94">
        <v>0</v>
      </c>
      <c r="O94">
        <v>90</v>
      </c>
      <c r="P94">
        <v>60</v>
      </c>
      <c r="Q94">
        <v>0</v>
      </c>
      <c r="R94">
        <v>0</v>
      </c>
      <c r="S94">
        <v>300</v>
      </c>
      <c r="T94">
        <v>21071</v>
      </c>
      <c r="U94" t="s">
        <v>146</v>
      </c>
      <c r="V94" t="s">
        <v>147</v>
      </c>
      <c r="W94" t="s">
        <v>148</v>
      </c>
      <c r="X94" t="s">
        <v>149</v>
      </c>
      <c r="Y94">
        <v>0</v>
      </c>
    </row>
    <row r="95" spans="1:25" x14ac:dyDescent="0.25">
      <c r="A95" t="s">
        <v>153</v>
      </c>
      <c r="B95">
        <v>2107</v>
      </c>
      <c r="C95">
        <v>2</v>
      </c>
      <c r="D95" t="s">
        <v>144</v>
      </c>
      <c r="E95" t="s">
        <v>154</v>
      </c>
      <c r="F95">
        <v>1000</v>
      </c>
      <c r="G95">
        <v>0</v>
      </c>
      <c r="H95">
        <v>0</v>
      </c>
      <c r="I95">
        <v>125</v>
      </c>
      <c r="J95">
        <v>0</v>
      </c>
      <c r="K95">
        <v>11</v>
      </c>
      <c r="L95">
        <v>3</v>
      </c>
      <c r="M95">
        <v>0</v>
      </c>
      <c r="N95">
        <v>0</v>
      </c>
      <c r="O95">
        <v>190</v>
      </c>
      <c r="P95">
        <v>110</v>
      </c>
      <c r="Q95">
        <v>0</v>
      </c>
      <c r="R95">
        <v>0</v>
      </c>
      <c r="S95">
        <v>440</v>
      </c>
      <c r="T95">
        <v>21072</v>
      </c>
      <c r="U95" t="s">
        <v>146</v>
      </c>
      <c r="V95" t="s">
        <v>147</v>
      </c>
      <c r="W95" t="s">
        <v>148</v>
      </c>
      <c r="X95" t="s">
        <v>149</v>
      </c>
      <c r="Y95">
        <v>0</v>
      </c>
    </row>
    <row r="96" spans="1:25" x14ac:dyDescent="0.25">
      <c r="A96" t="s">
        <v>153</v>
      </c>
      <c r="B96">
        <v>2107</v>
      </c>
      <c r="C96">
        <v>3</v>
      </c>
      <c r="D96" t="s">
        <v>144</v>
      </c>
      <c r="E96" t="s">
        <v>154</v>
      </c>
      <c r="F96">
        <v>1240</v>
      </c>
      <c r="G96">
        <v>0</v>
      </c>
      <c r="H96">
        <v>0</v>
      </c>
      <c r="I96">
        <v>155</v>
      </c>
      <c r="J96">
        <v>0</v>
      </c>
      <c r="K96">
        <v>11</v>
      </c>
      <c r="L96">
        <v>3</v>
      </c>
      <c r="M96">
        <v>0</v>
      </c>
      <c r="N96">
        <v>0</v>
      </c>
      <c r="O96">
        <v>330</v>
      </c>
      <c r="P96">
        <v>190</v>
      </c>
      <c r="Q96">
        <v>0</v>
      </c>
      <c r="R96">
        <v>0</v>
      </c>
      <c r="S96">
        <v>650</v>
      </c>
      <c r="T96">
        <v>21072</v>
      </c>
      <c r="U96" t="s">
        <v>146</v>
      </c>
      <c r="V96" t="s">
        <v>147</v>
      </c>
      <c r="W96" t="s">
        <v>148</v>
      </c>
      <c r="X96" t="s">
        <v>149</v>
      </c>
      <c r="Y96">
        <v>0</v>
      </c>
    </row>
    <row r="97" spans="1:25" x14ac:dyDescent="0.25">
      <c r="A97" t="s">
        <v>153</v>
      </c>
      <c r="B97">
        <v>2107</v>
      </c>
      <c r="C97">
        <v>4</v>
      </c>
      <c r="D97" t="s">
        <v>144</v>
      </c>
      <c r="E97" t="s">
        <v>154</v>
      </c>
      <c r="F97">
        <v>1520</v>
      </c>
      <c r="G97">
        <v>0</v>
      </c>
      <c r="H97">
        <v>0</v>
      </c>
      <c r="I97">
        <v>190</v>
      </c>
      <c r="J97">
        <v>0</v>
      </c>
      <c r="K97">
        <v>11</v>
      </c>
      <c r="L97">
        <v>3</v>
      </c>
      <c r="M97">
        <v>0</v>
      </c>
      <c r="N97">
        <v>0</v>
      </c>
      <c r="O97">
        <v>500</v>
      </c>
      <c r="P97">
        <v>290</v>
      </c>
      <c r="Q97">
        <v>0</v>
      </c>
      <c r="R97">
        <v>0</v>
      </c>
      <c r="S97">
        <v>960</v>
      </c>
      <c r="T97">
        <v>21072</v>
      </c>
      <c r="U97" t="s">
        <v>146</v>
      </c>
      <c r="V97" t="s">
        <v>147</v>
      </c>
      <c r="W97" t="s">
        <v>148</v>
      </c>
      <c r="X97" t="s">
        <v>149</v>
      </c>
      <c r="Y97">
        <v>0</v>
      </c>
    </row>
    <row r="98" spans="1:25" x14ac:dyDescent="0.25">
      <c r="A98" t="s">
        <v>153</v>
      </c>
      <c r="B98">
        <v>2107</v>
      </c>
      <c r="C98">
        <v>5</v>
      </c>
      <c r="D98" t="s">
        <v>144</v>
      </c>
      <c r="E98" t="s">
        <v>154</v>
      </c>
      <c r="F98">
        <v>1760</v>
      </c>
      <c r="G98">
        <v>0</v>
      </c>
      <c r="H98">
        <v>0</v>
      </c>
      <c r="I98">
        <v>220</v>
      </c>
      <c r="J98">
        <v>0</v>
      </c>
      <c r="K98">
        <v>11</v>
      </c>
      <c r="L98">
        <v>3</v>
      </c>
      <c r="M98">
        <v>0</v>
      </c>
      <c r="N98">
        <v>0</v>
      </c>
      <c r="O98">
        <v>720</v>
      </c>
      <c r="P98">
        <v>430</v>
      </c>
      <c r="Q98">
        <v>0</v>
      </c>
      <c r="R98">
        <v>0</v>
      </c>
      <c r="S98">
        <v>1450</v>
      </c>
      <c r="T98">
        <v>21073</v>
      </c>
      <c r="U98" t="s">
        <v>146</v>
      </c>
      <c r="V98" t="s">
        <v>147</v>
      </c>
      <c r="W98" t="s">
        <v>148</v>
      </c>
      <c r="X98" t="s">
        <v>149</v>
      </c>
      <c r="Y98">
        <v>0</v>
      </c>
    </row>
    <row r="99" spans="1:25" x14ac:dyDescent="0.25">
      <c r="A99" t="s">
        <v>153</v>
      </c>
      <c r="B99">
        <v>2107</v>
      </c>
      <c r="C99">
        <v>6</v>
      </c>
      <c r="D99" t="s">
        <v>144</v>
      </c>
      <c r="E99" t="s">
        <v>154</v>
      </c>
      <c r="F99">
        <v>2040</v>
      </c>
      <c r="G99">
        <v>0</v>
      </c>
      <c r="H99">
        <v>0</v>
      </c>
      <c r="I99">
        <v>255</v>
      </c>
      <c r="J99">
        <v>0</v>
      </c>
      <c r="K99">
        <v>12</v>
      </c>
      <c r="L99">
        <v>4</v>
      </c>
      <c r="M99">
        <v>0</v>
      </c>
      <c r="N99">
        <v>0</v>
      </c>
      <c r="O99">
        <v>1000</v>
      </c>
      <c r="P99">
        <v>600</v>
      </c>
      <c r="Q99">
        <v>0</v>
      </c>
      <c r="R99">
        <v>0</v>
      </c>
      <c r="S99">
        <v>2180</v>
      </c>
      <c r="T99">
        <v>21073</v>
      </c>
      <c r="U99" t="s">
        <v>146</v>
      </c>
      <c r="V99" t="s">
        <v>147</v>
      </c>
      <c r="W99" t="s">
        <v>148</v>
      </c>
      <c r="X99" t="s">
        <v>149</v>
      </c>
      <c r="Y99">
        <v>0</v>
      </c>
    </row>
    <row r="100" spans="1:25" x14ac:dyDescent="0.25">
      <c r="A100" t="s">
        <v>153</v>
      </c>
      <c r="B100">
        <v>2107</v>
      </c>
      <c r="C100">
        <v>7</v>
      </c>
      <c r="D100" t="s">
        <v>144</v>
      </c>
      <c r="E100" t="s">
        <v>154</v>
      </c>
      <c r="F100">
        <v>2360</v>
      </c>
      <c r="G100">
        <v>0</v>
      </c>
      <c r="H100">
        <v>0</v>
      </c>
      <c r="I100">
        <v>295</v>
      </c>
      <c r="J100">
        <v>0</v>
      </c>
      <c r="K100">
        <v>12</v>
      </c>
      <c r="L100">
        <v>4</v>
      </c>
      <c r="M100">
        <v>0</v>
      </c>
      <c r="N100">
        <v>0</v>
      </c>
      <c r="O100">
        <v>1360</v>
      </c>
      <c r="P100">
        <v>840</v>
      </c>
      <c r="Q100">
        <v>0</v>
      </c>
      <c r="R100">
        <v>0</v>
      </c>
      <c r="S100">
        <v>3300</v>
      </c>
      <c r="T100">
        <v>21073</v>
      </c>
      <c r="U100" t="s">
        <v>146</v>
      </c>
      <c r="V100" t="s">
        <v>147</v>
      </c>
      <c r="W100" t="s">
        <v>148</v>
      </c>
      <c r="X100" t="s">
        <v>149</v>
      </c>
      <c r="Y100">
        <v>0</v>
      </c>
    </row>
    <row r="101" spans="1:25" x14ac:dyDescent="0.25">
      <c r="A101" t="s">
        <v>153</v>
      </c>
      <c r="B101">
        <v>2107</v>
      </c>
      <c r="C101">
        <v>8</v>
      </c>
      <c r="D101" t="s">
        <v>144</v>
      </c>
      <c r="E101" t="s">
        <v>154</v>
      </c>
      <c r="F101">
        <v>2680</v>
      </c>
      <c r="G101">
        <v>0</v>
      </c>
      <c r="H101">
        <v>0</v>
      </c>
      <c r="I101">
        <v>335</v>
      </c>
      <c r="J101">
        <v>0</v>
      </c>
      <c r="K101">
        <v>12</v>
      </c>
      <c r="L101">
        <v>4</v>
      </c>
      <c r="M101">
        <v>0</v>
      </c>
      <c r="N101">
        <v>190</v>
      </c>
      <c r="O101">
        <v>1830</v>
      </c>
      <c r="P101">
        <v>1150</v>
      </c>
      <c r="Q101">
        <v>0</v>
      </c>
      <c r="R101">
        <v>190</v>
      </c>
      <c r="S101">
        <v>5000</v>
      </c>
      <c r="T101">
        <v>21073</v>
      </c>
      <c r="U101" t="s">
        <v>146</v>
      </c>
      <c r="V101" t="s">
        <v>147</v>
      </c>
      <c r="W101" t="s">
        <v>148</v>
      </c>
      <c r="X101" t="s">
        <v>149</v>
      </c>
      <c r="Y101">
        <v>0</v>
      </c>
    </row>
    <row r="102" spans="1:25" x14ac:dyDescent="0.25">
      <c r="A102" t="s">
        <v>153</v>
      </c>
      <c r="B102">
        <v>2107</v>
      </c>
      <c r="C102">
        <v>9</v>
      </c>
      <c r="D102" t="s">
        <v>144</v>
      </c>
      <c r="E102" t="s">
        <v>154</v>
      </c>
      <c r="F102">
        <v>3040</v>
      </c>
      <c r="G102">
        <v>0</v>
      </c>
      <c r="H102">
        <v>0</v>
      </c>
      <c r="I102">
        <v>380</v>
      </c>
      <c r="J102">
        <v>0</v>
      </c>
      <c r="K102">
        <v>12</v>
      </c>
      <c r="L102">
        <v>4</v>
      </c>
      <c r="M102">
        <v>0</v>
      </c>
      <c r="N102">
        <v>420</v>
      </c>
      <c r="O102">
        <v>2420</v>
      </c>
      <c r="P102">
        <v>1560</v>
      </c>
      <c r="Q102">
        <v>0</v>
      </c>
      <c r="R102">
        <v>420</v>
      </c>
      <c r="S102">
        <v>7590</v>
      </c>
      <c r="T102">
        <v>21073</v>
      </c>
      <c r="U102" t="s">
        <v>146</v>
      </c>
      <c r="V102" t="s">
        <v>147</v>
      </c>
      <c r="W102" t="s">
        <v>148</v>
      </c>
      <c r="X102" t="s">
        <v>149</v>
      </c>
      <c r="Y102">
        <v>0</v>
      </c>
    </row>
    <row r="103" spans="1:25" x14ac:dyDescent="0.25">
      <c r="A103" t="s">
        <v>153</v>
      </c>
      <c r="B103">
        <v>2107</v>
      </c>
      <c r="C103">
        <v>10</v>
      </c>
      <c r="D103" t="s">
        <v>144</v>
      </c>
      <c r="E103" t="s">
        <v>154</v>
      </c>
      <c r="F103">
        <v>3440</v>
      </c>
      <c r="G103">
        <v>0</v>
      </c>
      <c r="H103">
        <v>0</v>
      </c>
      <c r="I103">
        <v>430</v>
      </c>
      <c r="J103">
        <v>0</v>
      </c>
      <c r="K103">
        <v>12</v>
      </c>
      <c r="L103">
        <v>4</v>
      </c>
      <c r="M103">
        <v>0</v>
      </c>
      <c r="N103">
        <v>680</v>
      </c>
      <c r="O103">
        <v>3190</v>
      </c>
      <c r="P103">
        <v>2110</v>
      </c>
      <c r="Q103">
        <v>130</v>
      </c>
      <c r="R103">
        <v>680</v>
      </c>
      <c r="S103">
        <v>11540</v>
      </c>
      <c r="T103">
        <v>21073</v>
      </c>
      <c r="U103" t="s">
        <v>146</v>
      </c>
      <c r="V103" t="s">
        <v>147</v>
      </c>
      <c r="W103" t="s">
        <v>148</v>
      </c>
      <c r="X103" t="s">
        <v>149</v>
      </c>
      <c r="Y103">
        <v>0</v>
      </c>
    </row>
    <row r="104" spans="1:25" x14ac:dyDescent="0.25">
      <c r="A104" t="s">
        <v>153</v>
      </c>
      <c r="B104">
        <v>2107</v>
      </c>
      <c r="C104">
        <v>11</v>
      </c>
      <c r="D104" t="s">
        <v>144</v>
      </c>
      <c r="E104" t="s">
        <v>154</v>
      </c>
      <c r="F104">
        <v>3840</v>
      </c>
      <c r="G104">
        <v>0</v>
      </c>
      <c r="H104">
        <v>0</v>
      </c>
      <c r="I104">
        <v>480</v>
      </c>
      <c r="J104">
        <v>0</v>
      </c>
      <c r="K104">
        <v>13</v>
      </c>
      <c r="L104">
        <v>5</v>
      </c>
      <c r="M104">
        <v>0</v>
      </c>
      <c r="N104">
        <v>990</v>
      </c>
      <c r="O104">
        <v>4170</v>
      </c>
      <c r="P104">
        <v>2830</v>
      </c>
      <c r="Q104">
        <v>280</v>
      </c>
      <c r="R104">
        <v>990</v>
      </c>
      <c r="S104">
        <v>17540</v>
      </c>
      <c r="T104">
        <v>21073</v>
      </c>
      <c r="U104" t="s">
        <v>146</v>
      </c>
      <c r="V104" t="s">
        <v>147</v>
      </c>
      <c r="W104" t="s">
        <v>148</v>
      </c>
      <c r="X104" t="s">
        <v>149</v>
      </c>
      <c r="Y104">
        <v>0</v>
      </c>
    </row>
    <row r="105" spans="1:25" x14ac:dyDescent="0.25">
      <c r="A105" t="s">
        <v>153</v>
      </c>
      <c r="B105">
        <v>2107</v>
      </c>
      <c r="C105">
        <v>12</v>
      </c>
      <c r="D105" t="s">
        <v>144</v>
      </c>
      <c r="E105" t="s">
        <v>154</v>
      </c>
      <c r="F105">
        <v>4280</v>
      </c>
      <c r="G105">
        <v>0</v>
      </c>
      <c r="H105">
        <v>0</v>
      </c>
      <c r="I105">
        <v>535</v>
      </c>
      <c r="J105">
        <v>0</v>
      </c>
      <c r="K105">
        <v>13</v>
      </c>
      <c r="L105">
        <v>5</v>
      </c>
      <c r="M105">
        <v>0</v>
      </c>
      <c r="N105">
        <v>1350</v>
      </c>
      <c r="O105">
        <v>5440</v>
      </c>
      <c r="P105">
        <v>3780</v>
      </c>
      <c r="Q105">
        <v>460</v>
      </c>
      <c r="R105">
        <v>1350</v>
      </c>
      <c r="S105">
        <v>26670</v>
      </c>
      <c r="T105">
        <v>21073</v>
      </c>
      <c r="U105" t="s">
        <v>146</v>
      </c>
      <c r="V105" t="s">
        <v>147</v>
      </c>
      <c r="W105" t="s">
        <v>148</v>
      </c>
      <c r="X105" t="s">
        <v>149</v>
      </c>
      <c r="Y105">
        <v>0</v>
      </c>
    </row>
    <row r="106" spans="1:25" x14ac:dyDescent="0.25">
      <c r="A106" t="s">
        <v>153</v>
      </c>
      <c r="B106">
        <v>2107</v>
      </c>
      <c r="C106">
        <v>13</v>
      </c>
      <c r="D106" t="s">
        <v>144</v>
      </c>
      <c r="E106" t="s">
        <v>154</v>
      </c>
      <c r="F106">
        <v>4760</v>
      </c>
      <c r="G106">
        <v>0</v>
      </c>
      <c r="H106">
        <v>0</v>
      </c>
      <c r="I106">
        <v>595</v>
      </c>
      <c r="J106">
        <v>0</v>
      </c>
      <c r="K106">
        <v>13</v>
      </c>
      <c r="L106">
        <v>5</v>
      </c>
      <c r="M106">
        <v>0</v>
      </c>
      <c r="N106">
        <v>1760</v>
      </c>
      <c r="O106">
        <v>7060</v>
      </c>
      <c r="P106">
        <v>5050</v>
      </c>
      <c r="Q106">
        <v>670</v>
      </c>
      <c r="R106">
        <v>1760</v>
      </c>
      <c r="S106">
        <v>40580</v>
      </c>
      <c r="T106">
        <v>21073</v>
      </c>
      <c r="U106" t="s">
        <v>146</v>
      </c>
      <c r="V106" t="s">
        <v>147</v>
      </c>
      <c r="W106" t="s">
        <v>148</v>
      </c>
      <c r="X106" t="s">
        <v>149</v>
      </c>
      <c r="Y106">
        <v>0</v>
      </c>
    </row>
    <row r="107" spans="1:25" x14ac:dyDescent="0.25">
      <c r="A107" t="s">
        <v>153</v>
      </c>
      <c r="B107">
        <v>2107</v>
      </c>
      <c r="C107">
        <v>14</v>
      </c>
      <c r="D107" t="s">
        <v>144</v>
      </c>
      <c r="E107" t="s">
        <v>154</v>
      </c>
      <c r="F107">
        <v>5240</v>
      </c>
      <c r="G107">
        <v>0</v>
      </c>
      <c r="H107">
        <v>0</v>
      </c>
      <c r="I107">
        <v>655</v>
      </c>
      <c r="J107">
        <v>0</v>
      </c>
      <c r="K107">
        <v>13</v>
      </c>
      <c r="L107">
        <v>5</v>
      </c>
      <c r="M107">
        <v>0</v>
      </c>
      <c r="N107">
        <v>2240</v>
      </c>
      <c r="O107">
        <v>9140</v>
      </c>
      <c r="P107">
        <v>6720</v>
      </c>
      <c r="Q107">
        <v>910</v>
      </c>
      <c r="R107">
        <v>2240</v>
      </c>
      <c r="S107">
        <v>61730</v>
      </c>
      <c r="T107">
        <v>21073</v>
      </c>
      <c r="U107" t="s">
        <v>146</v>
      </c>
      <c r="V107" t="s">
        <v>147</v>
      </c>
      <c r="W107" t="s">
        <v>148</v>
      </c>
      <c r="X107" t="s">
        <v>149</v>
      </c>
      <c r="Y107">
        <v>0</v>
      </c>
    </row>
    <row r="108" spans="1:25" x14ac:dyDescent="0.25">
      <c r="A108" t="s">
        <v>153</v>
      </c>
      <c r="B108">
        <v>2107</v>
      </c>
      <c r="C108">
        <v>15</v>
      </c>
      <c r="D108" t="s">
        <v>144</v>
      </c>
      <c r="E108" t="s">
        <v>154</v>
      </c>
      <c r="F108">
        <v>5800</v>
      </c>
      <c r="G108">
        <v>0</v>
      </c>
      <c r="H108">
        <v>0</v>
      </c>
      <c r="I108">
        <v>725</v>
      </c>
      <c r="J108">
        <v>0</v>
      </c>
      <c r="K108">
        <v>14</v>
      </c>
      <c r="L108">
        <v>6</v>
      </c>
      <c r="M108">
        <v>0</v>
      </c>
      <c r="N108">
        <v>2800</v>
      </c>
      <c r="O108">
        <v>11810</v>
      </c>
      <c r="P108">
        <v>8930</v>
      </c>
      <c r="Q108">
        <v>1190</v>
      </c>
      <c r="R108">
        <v>2800</v>
      </c>
      <c r="S108">
        <v>93940</v>
      </c>
      <c r="T108">
        <v>21073</v>
      </c>
      <c r="U108" t="s">
        <v>146</v>
      </c>
      <c r="V108" t="s">
        <v>147</v>
      </c>
      <c r="W108" t="s">
        <v>148</v>
      </c>
      <c r="X108" t="s">
        <v>149</v>
      </c>
      <c r="Y108">
        <v>0</v>
      </c>
    </row>
    <row r="110" spans="1:25" x14ac:dyDescent="0.25">
      <c r="A110" t="s">
        <v>155</v>
      </c>
      <c r="B110">
        <v>2108</v>
      </c>
      <c r="C110">
        <v>0</v>
      </c>
      <c r="D110" t="s">
        <v>144</v>
      </c>
      <c r="E110" t="s">
        <v>145</v>
      </c>
      <c r="F110">
        <v>500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 t="s">
        <v>146</v>
      </c>
      <c r="V110" t="s">
        <v>147</v>
      </c>
      <c r="W110" t="s">
        <v>148</v>
      </c>
      <c r="X110" t="s">
        <v>149</v>
      </c>
      <c r="Y110">
        <v>0</v>
      </c>
    </row>
    <row r="111" spans="1:25" x14ac:dyDescent="0.25">
      <c r="A111" t="s">
        <v>155</v>
      </c>
      <c r="B111">
        <v>2108</v>
      </c>
      <c r="C111">
        <v>1</v>
      </c>
      <c r="D111" t="s">
        <v>144</v>
      </c>
      <c r="E111" t="s">
        <v>156</v>
      </c>
      <c r="F111">
        <v>1000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300</v>
      </c>
      <c r="T111">
        <v>0</v>
      </c>
      <c r="U111" t="s">
        <v>146</v>
      </c>
      <c r="V111" t="s">
        <v>147</v>
      </c>
      <c r="W111" t="s">
        <v>148</v>
      </c>
      <c r="X111" t="s">
        <v>149</v>
      </c>
      <c r="Y111">
        <v>0</v>
      </c>
    </row>
    <row r="113" spans="1:25" x14ac:dyDescent="0.25">
      <c r="A113" t="s">
        <v>203</v>
      </c>
      <c r="B113" t="s">
        <v>201</v>
      </c>
      <c r="C113">
        <v>10</v>
      </c>
      <c r="K113" t="s">
        <v>1</v>
      </c>
      <c r="L113" t="s">
        <v>2</v>
      </c>
      <c r="M113" t="s">
        <v>194</v>
      </c>
      <c r="N113" t="s">
        <v>204</v>
      </c>
      <c r="O113" t="s">
        <v>205</v>
      </c>
    </row>
    <row r="114" spans="1:25" x14ac:dyDescent="0.25">
      <c r="A114" t="s">
        <v>203</v>
      </c>
      <c r="B114" t="s">
        <v>202</v>
      </c>
      <c r="C114">
        <v>3</v>
      </c>
      <c r="H114" t="s">
        <v>132</v>
      </c>
      <c r="K114">
        <v>0.05</v>
      </c>
      <c r="L114">
        <v>-2</v>
      </c>
      <c r="M114">
        <v>8000</v>
      </c>
    </row>
    <row r="115" spans="1:25" x14ac:dyDescent="0.25">
      <c r="A115" t="s">
        <v>203</v>
      </c>
      <c r="B115" t="s">
        <v>128</v>
      </c>
      <c r="C115" t="s">
        <v>120</v>
      </c>
      <c r="H115" t="s">
        <v>133</v>
      </c>
      <c r="K115">
        <v>0.2</v>
      </c>
      <c r="L115">
        <v>220</v>
      </c>
      <c r="M115">
        <v>20000</v>
      </c>
    </row>
    <row r="116" spans="1:25" x14ac:dyDescent="0.25">
      <c r="A116" t="s">
        <v>203</v>
      </c>
      <c r="H116" t="s">
        <v>198</v>
      </c>
      <c r="K116">
        <v>0.2</v>
      </c>
      <c r="L116">
        <v>290</v>
      </c>
      <c r="M116">
        <v>26000</v>
      </c>
    </row>
    <row r="117" spans="1:25" x14ac:dyDescent="0.25">
      <c r="A117" t="s">
        <v>203</v>
      </c>
      <c r="H117" t="s">
        <v>135</v>
      </c>
      <c r="K117">
        <v>0.15</v>
      </c>
      <c r="L117">
        <v>-4</v>
      </c>
      <c r="M117">
        <v>2000</v>
      </c>
    </row>
    <row r="118" spans="1:25" x14ac:dyDescent="0.25">
      <c r="A118" t="s">
        <v>203</v>
      </c>
      <c r="H118" t="s">
        <v>136</v>
      </c>
      <c r="K118">
        <v>0</v>
      </c>
      <c r="L118">
        <v>0</v>
      </c>
      <c r="M118">
        <v>0</v>
      </c>
    </row>
    <row r="119" spans="1:25" x14ac:dyDescent="0.25">
      <c r="A119" t="s">
        <v>203</v>
      </c>
      <c r="H119" t="s">
        <v>69</v>
      </c>
      <c r="K119">
        <v>0.2</v>
      </c>
      <c r="L119" s="3">
        <v>4050</v>
      </c>
      <c r="M119" s="3">
        <v>199800</v>
      </c>
      <c r="N119" s="13" t="s">
        <v>73</v>
      </c>
      <c r="O119" s="13" t="s">
        <v>229</v>
      </c>
    </row>
    <row r="120" spans="1:25" x14ac:dyDescent="0.25">
      <c r="L120" s="3"/>
      <c r="M120" s="3"/>
    </row>
    <row r="121" spans="1:25" x14ac:dyDescent="0.25">
      <c r="A121" t="s">
        <v>157</v>
      </c>
      <c r="B121">
        <v>2110</v>
      </c>
      <c r="C121">
        <v>0</v>
      </c>
      <c r="D121" t="s">
        <v>144</v>
      </c>
      <c r="E121" t="s">
        <v>145</v>
      </c>
      <c r="F121">
        <v>500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 t="s">
        <v>146</v>
      </c>
      <c r="V121" t="s">
        <v>147</v>
      </c>
      <c r="W121" t="s">
        <v>148</v>
      </c>
      <c r="X121" t="s">
        <v>149</v>
      </c>
      <c r="Y121">
        <v>0</v>
      </c>
    </row>
    <row r="122" spans="1:25" x14ac:dyDescent="0.25">
      <c r="A122" t="s">
        <v>157</v>
      </c>
      <c r="B122">
        <v>2110</v>
      </c>
      <c r="C122">
        <v>1</v>
      </c>
      <c r="D122" t="s">
        <v>144</v>
      </c>
      <c r="E122" t="s">
        <v>158</v>
      </c>
      <c r="F122">
        <v>2480</v>
      </c>
      <c r="G122">
        <v>0</v>
      </c>
      <c r="H122">
        <v>0</v>
      </c>
      <c r="I122">
        <v>248</v>
      </c>
      <c r="J122">
        <v>0</v>
      </c>
      <c r="K122">
        <v>5</v>
      </c>
      <c r="L122">
        <v>7</v>
      </c>
      <c r="M122">
        <v>0</v>
      </c>
      <c r="N122">
        <v>0</v>
      </c>
      <c r="O122">
        <v>220</v>
      </c>
      <c r="P122">
        <v>290</v>
      </c>
      <c r="Q122">
        <v>0</v>
      </c>
      <c r="R122">
        <v>0</v>
      </c>
      <c r="S122">
        <v>4050</v>
      </c>
      <c r="T122">
        <v>21101</v>
      </c>
      <c r="U122" t="s">
        <v>146</v>
      </c>
      <c r="V122" t="s">
        <v>147</v>
      </c>
      <c r="W122" t="s">
        <v>148</v>
      </c>
      <c r="X122" t="s">
        <v>149</v>
      </c>
      <c r="Y122">
        <v>10</v>
      </c>
    </row>
    <row r="123" spans="1:25" x14ac:dyDescent="0.25">
      <c r="A123" t="s">
        <v>157</v>
      </c>
      <c r="B123">
        <v>2110</v>
      </c>
      <c r="C123">
        <v>2</v>
      </c>
      <c r="D123" t="s">
        <v>144</v>
      </c>
      <c r="E123" t="s">
        <v>158</v>
      </c>
      <c r="F123">
        <v>2880</v>
      </c>
      <c r="G123">
        <v>0</v>
      </c>
      <c r="H123">
        <v>0</v>
      </c>
      <c r="I123">
        <v>288</v>
      </c>
      <c r="J123">
        <v>0</v>
      </c>
      <c r="K123">
        <v>5</v>
      </c>
      <c r="L123">
        <v>7</v>
      </c>
      <c r="M123">
        <v>0</v>
      </c>
      <c r="N123">
        <v>0</v>
      </c>
      <c r="O123">
        <v>490</v>
      </c>
      <c r="P123">
        <v>640</v>
      </c>
      <c r="Q123">
        <v>0</v>
      </c>
      <c r="R123">
        <v>0</v>
      </c>
      <c r="S123">
        <v>6790</v>
      </c>
      <c r="T123">
        <v>21102</v>
      </c>
      <c r="U123" t="s">
        <v>146</v>
      </c>
      <c r="V123" t="s">
        <v>147</v>
      </c>
      <c r="W123" t="s">
        <v>148</v>
      </c>
      <c r="X123" t="s">
        <v>149</v>
      </c>
      <c r="Y123">
        <v>20</v>
      </c>
    </row>
    <row r="124" spans="1:25" x14ac:dyDescent="0.25">
      <c r="A124" t="s">
        <v>157</v>
      </c>
      <c r="B124">
        <v>2110</v>
      </c>
      <c r="C124">
        <v>3</v>
      </c>
      <c r="D124" t="s">
        <v>144</v>
      </c>
      <c r="E124" t="s">
        <v>158</v>
      </c>
      <c r="F124">
        <v>3360</v>
      </c>
      <c r="G124">
        <v>0</v>
      </c>
      <c r="H124">
        <v>0</v>
      </c>
      <c r="I124">
        <v>336</v>
      </c>
      <c r="J124">
        <v>0</v>
      </c>
      <c r="K124">
        <v>5</v>
      </c>
      <c r="L124">
        <v>7</v>
      </c>
      <c r="M124">
        <v>0</v>
      </c>
      <c r="N124">
        <v>210</v>
      </c>
      <c r="O124">
        <v>820</v>
      </c>
      <c r="P124">
        <v>1080</v>
      </c>
      <c r="Q124">
        <v>0</v>
      </c>
      <c r="R124">
        <v>0</v>
      </c>
      <c r="S124">
        <v>10150</v>
      </c>
      <c r="T124">
        <v>21103</v>
      </c>
      <c r="U124" t="s">
        <v>146</v>
      </c>
      <c r="V124" t="s">
        <v>147</v>
      </c>
      <c r="W124" t="s">
        <v>148</v>
      </c>
      <c r="X124" t="s">
        <v>149</v>
      </c>
      <c r="Y124">
        <v>30</v>
      </c>
    </row>
    <row r="125" spans="1:25" x14ac:dyDescent="0.25">
      <c r="A125" t="s">
        <v>157</v>
      </c>
      <c r="B125">
        <v>2110</v>
      </c>
      <c r="C125">
        <v>4</v>
      </c>
      <c r="D125" t="s">
        <v>144</v>
      </c>
      <c r="E125" t="s">
        <v>158</v>
      </c>
      <c r="F125">
        <v>3920</v>
      </c>
      <c r="G125">
        <v>0</v>
      </c>
      <c r="H125">
        <v>0</v>
      </c>
      <c r="I125">
        <v>392</v>
      </c>
      <c r="J125">
        <v>0</v>
      </c>
      <c r="K125">
        <v>5</v>
      </c>
      <c r="L125">
        <v>7</v>
      </c>
      <c r="M125">
        <v>0</v>
      </c>
      <c r="N125">
        <v>440</v>
      </c>
      <c r="O125">
        <v>1230</v>
      </c>
      <c r="P125">
        <v>1600</v>
      </c>
      <c r="Q125">
        <v>0</v>
      </c>
      <c r="R125">
        <v>0</v>
      </c>
      <c r="S125">
        <v>14240</v>
      </c>
      <c r="T125">
        <v>21104</v>
      </c>
      <c r="U125" t="s">
        <v>146</v>
      </c>
      <c r="V125" t="s">
        <v>147</v>
      </c>
      <c r="W125" t="s">
        <v>148</v>
      </c>
      <c r="X125" t="s">
        <v>149</v>
      </c>
      <c r="Y125">
        <v>40</v>
      </c>
    </row>
    <row r="126" spans="1:25" x14ac:dyDescent="0.25">
      <c r="A126" t="s">
        <v>157</v>
      </c>
      <c r="B126">
        <v>2110</v>
      </c>
      <c r="C126">
        <v>5</v>
      </c>
      <c r="D126" t="s">
        <v>144</v>
      </c>
      <c r="E126" t="s">
        <v>158</v>
      </c>
      <c r="F126">
        <v>4400</v>
      </c>
      <c r="G126">
        <v>0</v>
      </c>
      <c r="H126">
        <v>0</v>
      </c>
      <c r="I126">
        <v>440</v>
      </c>
      <c r="J126">
        <v>0</v>
      </c>
      <c r="K126">
        <v>5</v>
      </c>
      <c r="L126">
        <v>7</v>
      </c>
      <c r="M126">
        <v>0</v>
      </c>
      <c r="N126">
        <v>680</v>
      </c>
      <c r="O126">
        <v>1730</v>
      </c>
      <c r="P126">
        <v>2250</v>
      </c>
      <c r="Q126">
        <v>60</v>
      </c>
      <c r="R126">
        <v>0</v>
      </c>
      <c r="S126">
        <v>19240</v>
      </c>
      <c r="T126">
        <v>21105</v>
      </c>
      <c r="U126" t="s">
        <v>146</v>
      </c>
      <c r="V126" t="s">
        <v>147</v>
      </c>
      <c r="W126" t="s">
        <v>148</v>
      </c>
      <c r="X126" t="s">
        <v>149</v>
      </c>
      <c r="Y126">
        <v>50</v>
      </c>
    </row>
    <row r="127" spans="1:25" x14ac:dyDescent="0.25">
      <c r="A127" t="s">
        <v>157</v>
      </c>
      <c r="B127">
        <v>2110</v>
      </c>
      <c r="C127">
        <v>6</v>
      </c>
      <c r="D127" t="s">
        <v>144</v>
      </c>
      <c r="E127" t="s">
        <v>158</v>
      </c>
      <c r="F127">
        <v>4960</v>
      </c>
      <c r="G127">
        <v>0</v>
      </c>
      <c r="H127">
        <v>0</v>
      </c>
      <c r="I127">
        <v>496</v>
      </c>
      <c r="J127">
        <v>0</v>
      </c>
      <c r="K127">
        <v>6</v>
      </c>
      <c r="L127">
        <v>8</v>
      </c>
      <c r="M127">
        <v>0</v>
      </c>
      <c r="N127">
        <v>920</v>
      </c>
      <c r="O127">
        <v>2330</v>
      </c>
      <c r="P127">
        <v>3040</v>
      </c>
      <c r="Q127">
        <v>130</v>
      </c>
      <c r="R127">
        <v>0</v>
      </c>
      <c r="S127">
        <v>25350</v>
      </c>
      <c r="T127">
        <v>21105</v>
      </c>
      <c r="U127" t="s">
        <v>146</v>
      </c>
      <c r="V127" t="s">
        <v>147</v>
      </c>
      <c r="W127" t="s">
        <v>148</v>
      </c>
      <c r="X127" t="s">
        <v>149</v>
      </c>
      <c r="Y127">
        <v>60</v>
      </c>
    </row>
    <row r="128" spans="1:25" x14ac:dyDescent="0.25">
      <c r="A128" t="s">
        <v>157</v>
      </c>
      <c r="B128">
        <v>2110</v>
      </c>
      <c r="C128">
        <v>7</v>
      </c>
      <c r="D128" t="s">
        <v>144</v>
      </c>
      <c r="E128" t="s">
        <v>158</v>
      </c>
      <c r="F128">
        <v>5600</v>
      </c>
      <c r="G128">
        <v>0</v>
      </c>
      <c r="H128">
        <v>0</v>
      </c>
      <c r="I128">
        <v>560</v>
      </c>
      <c r="J128">
        <v>0</v>
      </c>
      <c r="K128">
        <v>6</v>
      </c>
      <c r="L128">
        <v>8</v>
      </c>
      <c r="M128">
        <v>0</v>
      </c>
      <c r="N128">
        <v>1190</v>
      </c>
      <c r="O128">
        <v>3070</v>
      </c>
      <c r="P128">
        <v>4000</v>
      </c>
      <c r="Q128">
        <v>220</v>
      </c>
      <c r="R128">
        <v>0</v>
      </c>
      <c r="S128">
        <v>32810</v>
      </c>
      <c r="T128">
        <v>21105</v>
      </c>
      <c r="U128" t="s">
        <v>146</v>
      </c>
      <c r="V128" t="s">
        <v>147</v>
      </c>
      <c r="W128" t="s">
        <v>148</v>
      </c>
      <c r="X128" t="s">
        <v>149</v>
      </c>
      <c r="Y128">
        <v>70</v>
      </c>
    </row>
    <row r="129" spans="1:25" x14ac:dyDescent="0.25">
      <c r="A129" t="s">
        <v>157</v>
      </c>
      <c r="B129">
        <v>2110</v>
      </c>
      <c r="C129">
        <v>8</v>
      </c>
      <c r="D129" t="s">
        <v>144</v>
      </c>
      <c r="E129" t="s">
        <v>158</v>
      </c>
      <c r="F129">
        <v>6240</v>
      </c>
      <c r="G129">
        <v>0</v>
      </c>
      <c r="H129">
        <v>0</v>
      </c>
      <c r="I129">
        <v>624</v>
      </c>
      <c r="J129">
        <v>0</v>
      </c>
      <c r="K129">
        <v>6</v>
      </c>
      <c r="L129">
        <v>8</v>
      </c>
      <c r="M129">
        <v>0</v>
      </c>
      <c r="N129">
        <v>1460</v>
      </c>
      <c r="O129">
        <v>3980</v>
      </c>
      <c r="P129">
        <v>5170</v>
      </c>
      <c r="Q129">
        <v>320</v>
      </c>
      <c r="R129">
        <v>0</v>
      </c>
      <c r="S129">
        <v>41920</v>
      </c>
      <c r="T129">
        <v>21105</v>
      </c>
      <c r="U129" t="s">
        <v>146</v>
      </c>
      <c r="V129" t="s">
        <v>147</v>
      </c>
      <c r="W129" t="s">
        <v>148</v>
      </c>
      <c r="X129" t="s">
        <v>149</v>
      </c>
      <c r="Y129">
        <v>80</v>
      </c>
    </row>
    <row r="130" spans="1:25" x14ac:dyDescent="0.25">
      <c r="A130" t="s">
        <v>157</v>
      </c>
      <c r="B130">
        <v>2110</v>
      </c>
      <c r="C130">
        <v>9</v>
      </c>
      <c r="D130" t="s">
        <v>144</v>
      </c>
      <c r="E130" t="s">
        <v>158</v>
      </c>
      <c r="F130">
        <v>6960</v>
      </c>
      <c r="G130">
        <v>0</v>
      </c>
      <c r="H130">
        <v>0</v>
      </c>
      <c r="I130">
        <v>696</v>
      </c>
      <c r="J130">
        <v>0</v>
      </c>
      <c r="K130">
        <v>6</v>
      </c>
      <c r="L130">
        <v>8</v>
      </c>
      <c r="M130">
        <v>0</v>
      </c>
      <c r="N130">
        <v>1750</v>
      </c>
      <c r="O130">
        <v>5080</v>
      </c>
      <c r="P130">
        <v>6610</v>
      </c>
      <c r="Q130">
        <v>430</v>
      </c>
      <c r="R130">
        <v>0</v>
      </c>
      <c r="S130">
        <v>53050</v>
      </c>
      <c r="T130">
        <v>21105</v>
      </c>
      <c r="U130" t="s">
        <v>146</v>
      </c>
      <c r="V130" t="s">
        <v>147</v>
      </c>
      <c r="W130" t="s">
        <v>148</v>
      </c>
      <c r="X130" t="s">
        <v>149</v>
      </c>
      <c r="Y130">
        <v>90</v>
      </c>
    </row>
    <row r="131" spans="1:25" x14ac:dyDescent="0.25">
      <c r="A131" t="s">
        <v>157</v>
      </c>
      <c r="B131">
        <v>2110</v>
      </c>
      <c r="C131">
        <v>10</v>
      </c>
      <c r="D131" t="s">
        <v>144</v>
      </c>
      <c r="E131" t="s">
        <v>158</v>
      </c>
      <c r="F131">
        <v>7760</v>
      </c>
      <c r="G131">
        <v>0</v>
      </c>
      <c r="H131">
        <v>0</v>
      </c>
      <c r="I131">
        <v>776</v>
      </c>
      <c r="J131">
        <v>0</v>
      </c>
      <c r="K131">
        <v>7</v>
      </c>
      <c r="L131">
        <v>9</v>
      </c>
      <c r="M131">
        <v>0</v>
      </c>
      <c r="N131">
        <v>2050</v>
      </c>
      <c r="O131">
        <v>6430</v>
      </c>
      <c r="P131">
        <v>8360</v>
      </c>
      <c r="Q131">
        <v>560</v>
      </c>
      <c r="R131">
        <v>0</v>
      </c>
      <c r="S131">
        <v>66650</v>
      </c>
      <c r="T131">
        <v>21105</v>
      </c>
      <c r="U131" t="s">
        <v>146</v>
      </c>
      <c r="V131" t="s">
        <v>147</v>
      </c>
      <c r="W131" t="s">
        <v>148</v>
      </c>
      <c r="X131" t="s">
        <v>149</v>
      </c>
      <c r="Y131">
        <v>100</v>
      </c>
    </row>
    <row r="133" spans="1:25" x14ac:dyDescent="0.25">
      <c r="A133" t="s">
        <v>203</v>
      </c>
      <c r="B133" t="s">
        <v>201</v>
      </c>
      <c r="C133">
        <v>15</v>
      </c>
      <c r="K133" t="s">
        <v>1</v>
      </c>
      <c r="L133" t="s">
        <v>2</v>
      </c>
      <c r="M133" t="s">
        <v>194</v>
      </c>
      <c r="N133" t="s">
        <v>204</v>
      </c>
      <c r="O133" t="s">
        <v>205</v>
      </c>
    </row>
    <row r="134" spans="1:25" x14ac:dyDescent="0.25">
      <c r="A134" t="s">
        <v>203</v>
      </c>
      <c r="B134" t="s">
        <v>202</v>
      </c>
      <c r="C134">
        <v>7</v>
      </c>
      <c r="H134" t="s">
        <v>132</v>
      </c>
      <c r="K134">
        <v>0.2</v>
      </c>
      <c r="L134">
        <v>800</v>
      </c>
      <c r="M134">
        <v>9000</v>
      </c>
    </row>
    <row r="135" spans="1:25" x14ac:dyDescent="0.25">
      <c r="A135" t="s">
        <v>203</v>
      </c>
      <c r="B135" t="s">
        <v>128</v>
      </c>
      <c r="C135" t="s">
        <v>116</v>
      </c>
      <c r="H135" t="s">
        <v>133</v>
      </c>
      <c r="K135">
        <v>0.25</v>
      </c>
      <c r="L135">
        <v>1800</v>
      </c>
      <c r="M135">
        <v>11000</v>
      </c>
    </row>
    <row r="136" spans="1:25" x14ac:dyDescent="0.25">
      <c r="A136" t="s">
        <v>203</v>
      </c>
      <c r="H136" t="s">
        <v>198</v>
      </c>
      <c r="K136">
        <v>0.25</v>
      </c>
      <c r="L136">
        <v>2320</v>
      </c>
      <c r="M136">
        <v>13000</v>
      </c>
    </row>
    <row r="137" spans="1:25" x14ac:dyDescent="0.25">
      <c r="A137" t="s">
        <v>203</v>
      </c>
      <c r="H137" t="s">
        <v>135</v>
      </c>
      <c r="K137">
        <v>0.05</v>
      </c>
      <c r="L137">
        <v>-2</v>
      </c>
      <c r="M137">
        <v>2000</v>
      </c>
    </row>
    <row r="138" spans="1:25" x14ac:dyDescent="0.25">
      <c r="A138" t="s">
        <v>203</v>
      </c>
      <c r="H138" t="s">
        <v>136</v>
      </c>
      <c r="K138">
        <v>0</v>
      </c>
      <c r="L138">
        <v>0</v>
      </c>
      <c r="M138">
        <v>0</v>
      </c>
    </row>
    <row r="139" spans="1:25" x14ac:dyDescent="0.25">
      <c r="A139" t="s">
        <v>203</v>
      </c>
      <c r="H139" t="s">
        <v>69</v>
      </c>
      <c r="K139">
        <v>0.04</v>
      </c>
      <c r="L139">
        <v>72900</v>
      </c>
      <c r="M139">
        <v>180000</v>
      </c>
      <c r="N139" s="13" t="s">
        <v>77</v>
      </c>
      <c r="O139" s="13" t="s">
        <v>230</v>
      </c>
    </row>
    <row r="141" spans="1:25" x14ac:dyDescent="0.25">
      <c r="A141" t="s">
        <v>159</v>
      </c>
      <c r="B141">
        <v>2109</v>
      </c>
      <c r="C141">
        <v>0</v>
      </c>
      <c r="D141" t="s">
        <v>144</v>
      </c>
      <c r="E141" t="s">
        <v>145</v>
      </c>
      <c r="F141">
        <v>500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 t="s">
        <v>146</v>
      </c>
      <c r="V141" t="s">
        <v>147</v>
      </c>
      <c r="W141" t="s">
        <v>148</v>
      </c>
      <c r="X141" t="s">
        <v>149</v>
      </c>
      <c r="Y141">
        <v>0</v>
      </c>
    </row>
    <row r="142" spans="1:25" x14ac:dyDescent="0.25">
      <c r="A142" t="s">
        <v>159</v>
      </c>
      <c r="B142">
        <v>2109</v>
      </c>
      <c r="C142">
        <v>1</v>
      </c>
      <c r="D142" t="s">
        <v>144</v>
      </c>
      <c r="E142" t="s">
        <v>160</v>
      </c>
      <c r="F142">
        <v>2360</v>
      </c>
      <c r="G142">
        <v>0</v>
      </c>
      <c r="H142">
        <v>0</v>
      </c>
      <c r="I142">
        <v>295</v>
      </c>
      <c r="J142">
        <v>0</v>
      </c>
      <c r="K142">
        <v>11</v>
      </c>
      <c r="L142">
        <v>3</v>
      </c>
      <c r="M142">
        <v>0</v>
      </c>
      <c r="N142">
        <v>800</v>
      </c>
      <c r="O142">
        <v>1800</v>
      </c>
      <c r="P142">
        <v>2320</v>
      </c>
      <c r="Q142">
        <v>0</v>
      </c>
      <c r="R142">
        <v>0</v>
      </c>
      <c r="S142">
        <v>72900</v>
      </c>
      <c r="T142">
        <v>2109</v>
      </c>
      <c r="U142" t="s">
        <v>146</v>
      </c>
      <c r="V142" t="s">
        <v>147</v>
      </c>
      <c r="W142" t="s">
        <v>148</v>
      </c>
      <c r="X142" t="s">
        <v>149</v>
      </c>
      <c r="Y142">
        <v>0</v>
      </c>
    </row>
    <row r="143" spans="1:25" x14ac:dyDescent="0.25">
      <c r="A143" t="s">
        <v>159</v>
      </c>
      <c r="B143">
        <v>2109</v>
      </c>
      <c r="C143">
        <v>2</v>
      </c>
      <c r="D143" t="s">
        <v>144</v>
      </c>
      <c r="E143" t="s">
        <v>160</v>
      </c>
      <c r="F143">
        <v>2560</v>
      </c>
      <c r="G143">
        <v>0</v>
      </c>
      <c r="H143">
        <v>0</v>
      </c>
      <c r="I143">
        <v>320</v>
      </c>
      <c r="J143">
        <v>0</v>
      </c>
      <c r="K143">
        <v>11</v>
      </c>
      <c r="L143">
        <v>3</v>
      </c>
      <c r="M143">
        <v>0</v>
      </c>
      <c r="N143">
        <v>930</v>
      </c>
      <c r="O143">
        <v>1910</v>
      </c>
      <c r="P143">
        <v>2450</v>
      </c>
      <c r="Q143">
        <v>0</v>
      </c>
      <c r="R143">
        <v>0</v>
      </c>
      <c r="S143">
        <v>78800</v>
      </c>
      <c r="T143">
        <v>2109</v>
      </c>
      <c r="U143" t="s">
        <v>146</v>
      </c>
      <c r="V143" t="s">
        <v>147</v>
      </c>
      <c r="W143" t="s">
        <v>148</v>
      </c>
      <c r="X143" t="s">
        <v>149</v>
      </c>
      <c r="Y143">
        <v>0</v>
      </c>
    </row>
    <row r="144" spans="1:25" x14ac:dyDescent="0.25">
      <c r="A144" t="s">
        <v>159</v>
      </c>
      <c r="B144">
        <v>2109</v>
      </c>
      <c r="C144">
        <v>3</v>
      </c>
      <c r="D144" t="s">
        <v>144</v>
      </c>
      <c r="E144" t="s">
        <v>160</v>
      </c>
      <c r="F144">
        <v>2800</v>
      </c>
      <c r="G144">
        <v>0</v>
      </c>
      <c r="H144">
        <v>0</v>
      </c>
      <c r="I144">
        <v>350</v>
      </c>
      <c r="J144">
        <v>0</v>
      </c>
      <c r="K144">
        <v>11</v>
      </c>
      <c r="L144">
        <v>3</v>
      </c>
      <c r="M144">
        <v>0</v>
      </c>
      <c r="N144">
        <v>1090</v>
      </c>
      <c r="O144">
        <v>2050</v>
      </c>
      <c r="P144">
        <v>2620</v>
      </c>
      <c r="Q144">
        <v>50</v>
      </c>
      <c r="R144">
        <v>0</v>
      </c>
      <c r="S144">
        <v>84930</v>
      </c>
      <c r="T144">
        <v>2109</v>
      </c>
      <c r="U144" t="s">
        <v>146</v>
      </c>
      <c r="V144" t="s">
        <v>147</v>
      </c>
      <c r="W144" t="s">
        <v>148</v>
      </c>
      <c r="X144" t="s">
        <v>149</v>
      </c>
      <c r="Y144">
        <v>0</v>
      </c>
    </row>
    <row r="145" spans="1:25" x14ac:dyDescent="0.25">
      <c r="A145" t="s">
        <v>159</v>
      </c>
      <c r="B145">
        <v>2109</v>
      </c>
      <c r="C145">
        <v>4</v>
      </c>
      <c r="D145" t="s">
        <v>144</v>
      </c>
      <c r="E145" t="s">
        <v>160</v>
      </c>
      <c r="F145">
        <v>3080</v>
      </c>
      <c r="G145">
        <v>0</v>
      </c>
      <c r="H145">
        <v>0</v>
      </c>
      <c r="I145">
        <v>385</v>
      </c>
      <c r="J145">
        <v>0</v>
      </c>
      <c r="K145">
        <v>11</v>
      </c>
      <c r="L145">
        <v>3</v>
      </c>
      <c r="M145">
        <v>0</v>
      </c>
      <c r="N145">
        <v>1290</v>
      </c>
      <c r="O145">
        <v>2230</v>
      </c>
      <c r="P145">
        <v>2840</v>
      </c>
      <c r="Q145">
        <v>110</v>
      </c>
      <c r="R145">
        <v>0</v>
      </c>
      <c r="S145">
        <v>91320</v>
      </c>
      <c r="T145">
        <v>2109</v>
      </c>
      <c r="U145" t="s">
        <v>146</v>
      </c>
      <c r="V145" t="s">
        <v>147</v>
      </c>
      <c r="W145" t="s">
        <v>148</v>
      </c>
      <c r="X145" t="s">
        <v>149</v>
      </c>
      <c r="Y145">
        <v>0</v>
      </c>
    </row>
    <row r="146" spans="1:25" x14ac:dyDescent="0.25">
      <c r="A146" t="s">
        <v>159</v>
      </c>
      <c r="B146">
        <v>2109</v>
      </c>
      <c r="C146">
        <v>5</v>
      </c>
      <c r="D146" t="s">
        <v>144</v>
      </c>
      <c r="E146" t="s">
        <v>160</v>
      </c>
      <c r="F146">
        <v>3320</v>
      </c>
      <c r="G146">
        <v>0</v>
      </c>
      <c r="H146">
        <v>0</v>
      </c>
      <c r="I146">
        <v>415</v>
      </c>
      <c r="J146">
        <v>0</v>
      </c>
      <c r="K146">
        <v>11</v>
      </c>
      <c r="L146">
        <v>3</v>
      </c>
      <c r="M146">
        <v>0</v>
      </c>
      <c r="N146">
        <v>1530</v>
      </c>
      <c r="O146">
        <v>2460</v>
      </c>
      <c r="P146">
        <v>3110</v>
      </c>
      <c r="Q146">
        <v>170</v>
      </c>
      <c r="R146">
        <v>0</v>
      </c>
      <c r="S146">
        <v>97970</v>
      </c>
      <c r="T146">
        <v>2109</v>
      </c>
      <c r="U146" t="s">
        <v>146</v>
      </c>
      <c r="V146" t="s">
        <v>147</v>
      </c>
      <c r="W146" t="s">
        <v>148</v>
      </c>
      <c r="X146" t="s">
        <v>149</v>
      </c>
      <c r="Y146">
        <v>0</v>
      </c>
    </row>
    <row r="147" spans="1:25" x14ac:dyDescent="0.25">
      <c r="A147" t="s">
        <v>159</v>
      </c>
      <c r="B147">
        <v>2109</v>
      </c>
      <c r="C147">
        <v>6</v>
      </c>
      <c r="D147" t="s">
        <v>144</v>
      </c>
      <c r="E147" t="s">
        <v>160</v>
      </c>
      <c r="F147">
        <v>3600</v>
      </c>
      <c r="G147">
        <v>0</v>
      </c>
      <c r="H147">
        <v>0</v>
      </c>
      <c r="I147">
        <v>450</v>
      </c>
      <c r="J147">
        <v>0</v>
      </c>
      <c r="K147">
        <v>12</v>
      </c>
      <c r="L147">
        <v>4</v>
      </c>
      <c r="M147">
        <v>0</v>
      </c>
      <c r="N147">
        <v>1820</v>
      </c>
      <c r="O147">
        <v>2760</v>
      </c>
      <c r="P147">
        <v>3470</v>
      </c>
      <c r="Q147">
        <v>230</v>
      </c>
      <c r="R147">
        <v>0</v>
      </c>
      <c r="S147">
        <v>104880</v>
      </c>
      <c r="T147">
        <v>2109</v>
      </c>
      <c r="U147" t="s">
        <v>146</v>
      </c>
      <c r="V147" t="s">
        <v>147</v>
      </c>
      <c r="W147" t="s">
        <v>148</v>
      </c>
      <c r="X147" t="s">
        <v>149</v>
      </c>
      <c r="Y147">
        <v>0</v>
      </c>
    </row>
    <row r="148" spans="1:25" x14ac:dyDescent="0.25">
      <c r="A148" t="s">
        <v>159</v>
      </c>
      <c r="B148">
        <v>2109</v>
      </c>
      <c r="C148">
        <v>7</v>
      </c>
      <c r="D148" t="s">
        <v>144</v>
      </c>
      <c r="E148" t="s">
        <v>160</v>
      </c>
      <c r="F148">
        <v>3920</v>
      </c>
      <c r="G148">
        <v>0</v>
      </c>
      <c r="H148">
        <v>0</v>
      </c>
      <c r="I148">
        <v>490</v>
      </c>
      <c r="J148">
        <v>0</v>
      </c>
      <c r="K148">
        <v>12</v>
      </c>
      <c r="L148">
        <v>4</v>
      </c>
      <c r="M148">
        <v>0</v>
      </c>
      <c r="N148">
        <v>2180</v>
      </c>
      <c r="O148">
        <v>3150</v>
      </c>
      <c r="P148">
        <v>3930</v>
      </c>
      <c r="Q148">
        <v>300</v>
      </c>
      <c r="R148">
        <v>0</v>
      </c>
      <c r="S148">
        <v>112080</v>
      </c>
      <c r="T148">
        <v>2109</v>
      </c>
      <c r="U148" t="s">
        <v>146</v>
      </c>
      <c r="V148" t="s">
        <v>147</v>
      </c>
      <c r="W148" t="s">
        <v>148</v>
      </c>
      <c r="X148" t="s">
        <v>149</v>
      </c>
      <c r="Y148">
        <v>0</v>
      </c>
    </row>
    <row r="149" spans="1:25" x14ac:dyDescent="0.25">
      <c r="A149" t="s">
        <v>159</v>
      </c>
      <c r="B149">
        <v>2109</v>
      </c>
      <c r="C149">
        <v>8</v>
      </c>
      <c r="D149" t="s">
        <v>144</v>
      </c>
      <c r="E149" t="s">
        <v>160</v>
      </c>
      <c r="F149">
        <v>4240</v>
      </c>
      <c r="G149">
        <v>0</v>
      </c>
      <c r="H149">
        <v>0</v>
      </c>
      <c r="I149">
        <v>530</v>
      </c>
      <c r="J149">
        <v>0</v>
      </c>
      <c r="K149">
        <v>12</v>
      </c>
      <c r="L149">
        <v>4</v>
      </c>
      <c r="M149">
        <v>0</v>
      </c>
      <c r="N149">
        <v>2620</v>
      </c>
      <c r="O149">
        <v>3640</v>
      </c>
      <c r="P149">
        <v>4520</v>
      </c>
      <c r="Q149">
        <v>370</v>
      </c>
      <c r="R149">
        <v>0</v>
      </c>
      <c r="S149">
        <v>119580</v>
      </c>
      <c r="T149">
        <v>2109</v>
      </c>
      <c r="U149" t="s">
        <v>146</v>
      </c>
      <c r="V149" t="s">
        <v>147</v>
      </c>
      <c r="W149" t="s">
        <v>148</v>
      </c>
      <c r="X149" t="s">
        <v>149</v>
      </c>
      <c r="Y149">
        <v>0</v>
      </c>
    </row>
    <row r="150" spans="1:25" x14ac:dyDescent="0.25">
      <c r="A150" t="s">
        <v>159</v>
      </c>
      <c r="B150">
        <v>2109</v>
      </c>
      <c r="C150">
        <v>9</v>
      </c>
      <c r="D150" t="s">
        <v>144</v>
      </c>
      <c r="E150" t="s">
        <v>160</v>
      </c>
      <c r="F150">
        <v>4600</v>
      </c>
      <c r="G150">
        <v>0</v>
      </c>
      <c r="H150">
        <v>0</v>
      </c>
      <c r="I150">
        <v>575</v>
      </c>
      <c r="J150">
        <v>0</v>
      </c>
      <c r="K150">
        <v>12</v>
      </c>
      <c r="L150">
        <v>4</v>
      </c>
      <c r="M150">
        <v>0</v>
      </c>
      <c r="N150">
        <v>3160</v>
      </c>
      <c r="O150">
        <v>4270</v>
      </c>
      <c r="P150">
        <v>5280</v>
      </c>
      <c r="Q150">
        <v>440</v>
      </c>
      <c r="R150">
        <v>0</v>
      </c>
      <c r="S150">
        <v>127380</v>
      </c>
      <c r="T150">
        <v>2109</v>
      </c>
      <c r="U150" t="s">
        <v>146</v>
      </c>
      <c r="V150" t="s">
        <v>147</v>
      </c>
      <c r="W150" t="s">
        <v>148</v>
      </c>
      <c r="X150" t="s">
        <v>149</v>
      </c>
      <c r="Y150">
        <v>0</v>
      </c>
    </row>
    <row r="151" spans="1:25" x14ac:dyDescent="0.25">
      <c r="A151" t="s">
        <v>159</v>
      </c>
      <c r="B151">
        <v>2109</v>
      </c>
      <c r="C151">
        <v>10</v>
      </c>
      <c r="D151" t="s">
        <v>144</v>
      </c>
      <c r="E151" t="s">
        <v>160</v>
      </c>
      <c r="F151">
        <v>5000</v>
      </c>
      <c r="G151">
        <v>0</v>
      </c>
      <c r="H151">
        <v>0</v>
      </c>
      <c r="I151">
        <v>625</v>
      </c>
      <c r="J151">
        <v>0</v>
      </c>
      <c r="K151">
        <v>12</v>
      </c>
      <c r="L151">
        <v>4</v>
      </c>
      <c r="M151">
        <v>0</v>
      </c>
      <c r="N151">
        <v>3810</v>
      </c>
      <c r="O151">
        <v>5080</v>
      </c>
      <c r="P151">
        <v>6250</v>
      </c>
      <c r="Q151">
        <v>510</v>
      </c>
      <c r="R151">
        <v>0</v>
      </c>
      <c r="S151">
        <v>135500</v>
      </c>
      <c r="T151">
        <v>2109</v>
      </c>
      <c r="U151" t="s">
        <v>146</v>
      </c>
      <c r="V151" t="s">
        <v>147</v>
      </c>
      <c r="W151" t="s">
        <v>148</v>
      </c>
      <c r="X151" t="s">
        <v>149</v>
      </c>
      <c r="Y151">
        <v>0</v>
      </c>
    </row>
    <row r="152" spans="1:25" x14ac:dyDescent="0.25">
      <c r="A152" t="s">
        <v>159</v>
      </c>
      <c r="B152">
        <v>2109</v>
      </c>
      <c r="C152">
        <v>11</v>
      </c>
      <c r="D152" t="s">
        <v>144</v>
      </c>
      <c r="E152" t="s">
        <v>160</v>
      </c>
      <c r="F152">
        <v>5400</v>
      </c>
      <c r="G152">
        <v>0</v>
      </c>
      <c r="H152">
        <v>0</v>
      </c>
      <c r="I152">
        <v>675</v>
      </c>
      <c r="J152">
        <v>0</v>
      </c>
      <c r="K152">
        <v>13</v>
      </c>
      <c r="L152">
        <v>5</v>
      </c>
      <c r="M152">
        <v>0</v>
      </c>
      <c r="N152">
        <v>4610</v>
      </c>
      <c r="O152">
        <v>6120</v>
      </c>
      <c r="P152">
        <v>7490</v>
      </c>
      <c r="Q152">
        <v>590</v>
      </c>
      <c r="R152">
        <v>0</v>
      </c>
      <c r="S152">
        <v>143950</v>
      </c>
      <c r="T152">
        <v>2109</v>
      </c>
      <c r="U152" t="s">
        <v>146</v>
      </c>
      <c r="V152" t="s">
        <v>147</v>
      </c>
      <c r="W152" t="s">
        <v>148</v>
      </c>
      <c r="X152" t="s">
        <v>149</v>
      </c>
      <c r="Y152">
        <v>0</v>
      </c>
    </row>
    <row r="153" spans="1:25" x14ac:dyDescent="0.25">
      <c r="A153" t="s">
        <v>159</v>
      </c>
      <c r="B153">
        <v>2109</v>
      </c>
      <c r="C153">
        <v>12</v>
      </c>
      <c r="D153" t="s">
        <v>144</v>
      </c>
      <c r="E153" t="s">
        <v>160</v>
      </c>
      <c r="F153">
        <v>5840</v>
      </c>
      <c r="G153">
        <v>0</v>
      </c>
      <c r="H153">
        <v>0</v>
      </c>
      <c r="I153">
        <v>730</v>
      </c>
      <c r="J153">
        <v>0</v>
      </c>
      <c r="K153">
        <v>13</v>
      </c>
      <c r="L153">
        <v>5</v>
      </c>
      <c r="M153">
        <v>0</v>
      </c>
      <c r="N153">
        <v>5580</v>
      </c>
      <c r="O153">
        <v>7460</v>
      </c>
      <c r="P153">
        <v>9090</v>
      </c>
      <c r="Q153">
        <v>680</v>
      </c>
      <c r="R153">
        <v>0</v>
      </c>
      <c r="S153">
        <v>152740</v>
      </c>
      <c r="T153">
        <v>2109</v>
      </c>
      <c r="U153" t="s">
        <v>146</v>
      </c>
      <c r="V153" t="s">
        <v>147</v>
      </c>
      <c r="W153" t="s">
        <v>148</v>
      </c>
      <c r="X153" t="s">
        <v>149</v>
      </c>
      <c r="Y153">
        <v>0</v>
      </c>
    </row>
    <row r="154" spans="1:25" x14ac:dyDescent="0.25">
      <c r="A154" t="s">
        <v>159</v>
      </c>
      <c r="B154">
        <v>2109</v>
      </c>
      <c r="C154">
        <v>13</v>
      </c>
      <c r="D154" t="s">
        <v>144</v>
      </c>
      <c r="E154" t="s">
        <v>160</v>
      </c>
      <c r="F154">
        <v>6320</v>
      </c>
      <c r="G154">
        <v>0</v>
      </c>
      <c r="H154">
        <v>0</v>
      </c>
      <c r="I154">
        <v>790</v>
      </c>
      <c r="J154">
        <v>0</v>
      </c>
      <c r="K154">
        <v>13</v>
      </c>
      <c r="L154">
        <v>5</v>
      </c>
      <c r="M154">
        <v>0</v>
      </c>
      <c r="N154">
        <v>6770</v>
      </c>
      <c r="O154">
        <v>9180</v>
      </c>
      <c r="P154">
        <v>11150</v>
      </c>
      <c r="Q154">
        <v>770</v>
      </c>
      <c r="R154">
        <v>0</v>
      </c>
      <c r="S154">
        <v>161900</v>
      </c>
      <c r="T154">
        <v>2109</v>
      </c>
      <c r="U154" t="s">
        <v>146</v>
      </c>
      <c r="V154" t="s">
        <v>147</v>
      </c>
      <c r="W154" t="s">
        <v>148</v>
      </c>
      <c r="X154" t="s">
        <v>149</v>
      </c>
      <c r="Y154">
        <v>0</v>
      </c>
    </row>
    <row r="155" spans="1:25" x14ac:dyDescent="0.25">
      <c r="A155" t="s">
        <v>159</v>
      </c>
      <c r="B155">
        <v>2109</v>
      </c>
      <c r="C155">
        <v>14</v>
      </c>
      <c r="D155" t="s">
        <v>144</v>
      </c>
      <c r="E155" t="s">
        <v>160</v>
      </c>
      <c r="F155">
        <v>6800</v>
      </c>
      <c r="G155">
        <v>0</v>
      </c>
      <c r="H155">
        <v>0</v>
      </c>
      <c r="I155">
        <v>850</v>
      </c>
      <c r="J155">
        <v>0</v>
      </c>
      <c r="K155">
        <v>13</v>
      </c>
      <c r="L155">
        <v>5</v>
      </c>
      <c r="M155">
        <v>0</v>
      </c>
      <c r="N155">
        <v>8230</v>
      </c>
      <c r="O155">
        <v>11380</v>
      </c>
      <c r="P155">
        <v>13790</v>
      </c>
      <c r="Q155">
        <v>860</v>
      </c>
      <c r="R155">
        <v>0</v>
      </c>
      <c r="S155">
        <v>171420</v>
      </c>
      <c r="T155">
        <v>2109</v>
      </c>
      <c r="U155" t="s">
        <v>146</v>
      </c>
      <c r="V155" t="s">
        <v>147</v>
      </c>
      <c r="W155" t="s">
        <v>148</v>
      </c>
      <c r="X155" t="s">
        <v>149</v>
      </c>
      <c r="Y155">
        <v>0</v>
      </c>
    </row>
    <row r="156" spans="1:25" x14ac:dyDescent="0.25">
      <c r="A156" t="s">
        <v>159</v>
      </c>
      <c r="B156">
        <v>2109</v>
      </c>
      <c r="C156">
        <v>15</v>
      </c>
      <c r="D156" t="s">
        <v>144</v>
      </c>
      <c r="E156" t="s">
        <v>160</v>
      </c>
      <c r="F156">
        <v>7360</v>
      </c>
      <c r="G156">
        <v>0</v>
      </c>
      <c r="H156">
        <v>0</v>
      </c>
      <c r="I156">
        <v>920</v>
      </c>
      <c r="J156">
        <v>0</v>
      </c>
      <c r="K156">
        <v>14</v>
      </c>
      <c r="L156">
        <v>6</v>
      </c>
      <c r="M156">
        <v>0</v>
      </c>
      <c r="N156">
        <v>10000</v>
      </c>
      <c r="O156">
        <v>14210</v>
      </c>
      <c r="P156">
        <v>17180</v>
      </c>
      <c r="Q156">
        <v>960</v>
      </c>
      <c r="R156">
        <v>0</v>
      </c>
      <c r="S156">
        <v>181340</v>
      </c>
      <c r="T156">
        <v>2109</v>
      </c>
      <c r="U156" t="s">
        <v>146</v>
      </c>
      <c r="V156" t="s">
        <v>147</v>
      </c>
      <c r="W156" t="s">
        <v>148</v>
      </c>
      <c r="X156" t="s">
        <v>149</v>
      </c>
      <c r="Y156">
        <v>0</v>
      </c>
    </row>
    <row r="158" spans="1:25" x14ac:dyDescent="0.25">
      <c r="A158" t="s">
        <v>203</v>
      </c>
      <c r="B158" t="s">
        <v>201</v>
      </c>
      <c r="C158">
        <v>10</v>
      </c>
      <c r="K158" t="s">
        <v>1</v>
      </c>
      <c r="L158" t="s">
        <v>2</v>
      </c>
      <c r="M158" t="s">
        <v>194</v>
      </c>
      <c r="N158" t="s">
        <v>204</v>
      </c>
      <c r="O158" t="s">
        <v>205</v>
      </c>
    </row>
    <row r="159" spans="1:25" x14ac:dyDescent="0.25">
      <c r="A159" t="s">
        <v>203</v>
      </c>
      <c r="B159" t="s">
        <v>202</v>
      </c>
      <c r="C159">
        <v>2</v>
      </c>
      <c r="H159" t="s">
        <v>132</v>
      </c>
      <c r="K159">
        <v>0.1</v>
      </c>
      <c r="L159">
        <v>-5</v>
      </c>
      <c r="M159">
        <v>8000</v>
      </c>
    </row>
    <row r="160" spans="1:25" x14ac:dyDescent="0.25">
      <c r="A160" t="s">
        <v>203</v>
      </c>
      <c r="B160" t="s">
        <v>128</v>
      </c>
      <c r="C160" t="s">
        <v>122</v>
      </c>
      <c r="H160" t="s">
        <v>133</v>
      </c>
      <c r="K160">
        <v>0.25</v>
      </c>
      <c r="L160">
        <v>60</v>
      </c>
      <c r="M160">
        <v>5500</v>
      </c>
    </row>
    <row r="161" spans="1:25" x14ac:dyDescent="0.25">
      <c r="A161" t="s">
        <v>203</v>
      </c>
      <c r="H161" t="s">
        <v>198</v>
      </c>
      <c r="K161">
        <v>0.25</v>
      </c>
      <c r="L161">
        <v>70</v>
      </c>
      <c r="M161">
        <v>7000</v>
      </c>
    </row>
    <row r="162" spans="1:25" x14ac:dyDescent="0.25">
      <c r="A162" t="s">
        <v>203</v>
      </c>
      <c r="H162" t="s">
        <v>135</v>
      </c>
      <c r="K162">
        <v>0.15</v>
      </c>
      <c r="L162">
        <v>0</v>
      </c>
      <c r="M162">
        <v>0</v>
      </c>
    </row>
    <row r="163" spans="1:25" x14ac:dyDescent="0.25">
      <c r="A163" t="s">
        <v>203</v>
      </c>
      <c r="H163" t="s">
        <v>136</v>
      </c>
      <c r="K163">
        <v>0</v>
      </c>
      <c r="L163">
        <v>0</v>
      </c>
      <c r="M163">
        <v>0</v>
      </c>
    </row>
    <row r="164" spans="1:25" x14ac:dyDescent="0.25">
      <c r="A164" t="s">
        <v>203</v>
      </c>
      <c r="H164" t="s">
        <v>69</v>
      </c>
      <c r="K164">
        <v>0.2</v>
      </c>
      <c r="L164">
        <v>12150</v>
      </c>
      <c r="M164">
        <v>115000</v>
      </c>
      <c r="N164" s="13" t="s">
        <v>74</v>
      </c>
      <c r="O164" s="13" t="s">
        <v>231</v>
      </c>
    </row>
    <row r="165" spans="1:25" x14ac:dyDescent="0.25">
      <c r="L165" s="3"/>
      <c r="M165" s="3"/>
    </row>
    <row r="166" spans="1:25" x14ac:dyDescent="0.25">
      <c r="A166" t="s">
        <v>161</v>
      </c>
      <c r="B166">
        <v>2111</v>
      </c>
      <c r="C166">
        <v>0</v>
      </c>
      <c r="D166" t="s">
        <v>144</v>
      </c>
      <c r="E166" t="s">
        <v>145</v>
      </c>
      <c r="F166">
        <v>500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 t="s">
        <v>146</v>
      </c>
      <c r="V166" t="s">
        <v>147</v>
      </c>
      <c r="W166" t="s">
        <v>148</v>
      </c>
      <c r="X166" t="s">
        <v>149</v>
      </c>
      <c r="Y166">
        <v>0</v>
      </c>
    </row>
    <row r="167" spans="1:25" x14ac:dyDescent="0.25">
      <c r="A167" t="s">
        <v>161</v>
      </c>
      <c r="B167">
        <v>2111</v>
      </c>
      <c r="C167">
        <v>1</v>
      </c>
      <c r="D167" t="s">
        <v>144</v>
      </c>
      <c r="E167" t="s">
        <v>162</v>
      </c>
      <c r="F167">
        <v>875</v>
      </c>
      <c r="G167">
        <v>0</v>
      </c>
      <c r="H167">
        <v>0</v>
      </c>
      <c r="I167">
        <v>125</v>
      </c>
      <c r="J167">
        <v>0</v>
      </c>
      <c r="K167">
        <v>14</v>
      </c>
      <c r="L167">
        <v>0</v>
      </c>
      <c r="M167">
        <v>0</v>
      </c>
      <c r="N167">
        <v>0</v>
      </c>
      <c r="O167">
        <v>60</v>
      </c>
      <c r="P167">
        <v>70</v>
      </c>
      <c r="Q167">
        <v>0</v>
      </c>
      <c r="R167">
        <v>0</v>
      </c>
      <c r="S167">
        <v>12150</v>
      </c>
      <c r="T167">
        <v>21111</v>
      </c>
      <c r="U167" t="s">
        <v>146</v>
      </c>
      <c r="V167" t="s">
        <v>147</v>
      </c>
      <c r="W167" t="s">
        <v>148</v>
      </c>
      <c r="X167" t="s">
        <v>149</v>
      </c>
      <c r="Y167">
        <v>0</v>
      </c>
    </row>
    <row r="168" spans="1:25" x14ac:dyDescent="0.25">
      <c r="A168" t="s">
        <v>161</v>
      </c>
      <c r="B168">
        <v>2111</v>
      </c>
      <c r="C168">
        <v>2</v>
      </c>
      <c r="D168" t="s">
        <v>144</v>
      </c>
      <c r="E168" t="s">
        <v>162</v>
      </c>
      <c r="F168">
        <v>1050</v>
      </c>
      <c r="G168">
        <v>0</v>
      </c>
      <c r="H168">
        <v>0</v>
      </c>
      <c r="I168">
        <v>150</v>
      </c>
      <c r="J168">
        <v>0</v>
      </c>
      <c r="K168">
        <v>14</v>
      </c>
      <c r="L168">
        <v>0</v>
      </c>
      <c r="M168">
        <v>0</v>
      </c>
      <c r="N168">
        <v>0</v>
      </c>
      <c r="O168">
        <v>230</v>
      </c>
      <c r="P168">
        <v>280</v>
      </c>
      <c r="Q168">
        <v>0</v>
      </c>
      <c r="R168">
        <v>0</v>
      </c>
      <c r="S168">
        <v>16800</v>
      </c>
      <c r="T168">
        <v>21111</v>
      </c>
      <c r="U168" t="s">
        <v>146</v>
      </c>
      <c r="V168" t="s">
        <v>147</v>
      </c>
      <c r="W168" t="s">
        <v>148</v>
      </c>
      <c r="X168" t="s">
        <v>149</v>
      </c>
      <c r="Y168">
        <v>0</v>
      </c>
    </row>
    <row r="169" spans="1:25" x14ac:dyDescent="0.25">
      <c r="A169" t="s">
        <v>161</v>
      </c>
      <c r="B169">
        <v>2111</v>
      </c>
      <c r="C169">
        <v>3</v>
      </c>
      <c r="D169" t="s">
        <v>144</v>
      </c>
      <c r="E169" t="s">
        <v>162</v>
      </c>
      <c r="F169">
        <v>1260</v>
      </c>
      <c r="G169">
        <v>0</v>
      </c>
      <c r="H169">
        <v>0</v>
      </c>
      <c r="I169">
        <v>180</v>
      </c>
      <c r="J169">
        <v>0</v>
      </c>
      <c r="K169">
        <v>14</v>
      </c>
      <c r="L169">
        <v>0</v>
      </c>
      <c r="M169">
        <v>0</v>
      </c>
      <c r="N169">
        <v>0</v>
      </c>
      <c r="O169">
        <v>440</v>
      </c>
      <c r="P169">
        <v>550</v>
      </c>
      <c r="Q169">
        <v>0</v>
      </c>
      <c r="R169">
        <v>0</v>
      </c>
      <c r="S169">
        <v>22490</v>
      </c>
      <c r="T169">
        <v>21111</v>
      </c>
      <c r="U169" t="s">
        <v>146</v>
      </c>
      <c r="V169" t="s">
        <v>147</v>
      </c>
      <c r="W169" t="s">
        <v>148</v>
      </c>
      <c r="X169" t="s">
        <v>149</v>
      </c>
      <c r="Y169">
        <v>0</v>
      </c>
    </row>
    <row r="170" spans="1:25" x14ac:dyDescent="0.25">
      <c r="A170" t="s">
        <v>161</v>
      </c>
      <c r="B170">
        <v>2111</v>
      </c>
      <c r="C170">
        <v>4</v>
      </c>
      <c r="D170" t="s">
        <v>144</v>
      </c>
      <c r="E170" t="s">
        <v>162</v>
      </c>
      <c r="F170">
        <v>1505</v>
      </c>
      <c r="G170">
        <v>0</v>
      </c>
      <c r="H170">
        <v>0</v>
      </c>
      <c r="I170">
        <v>215</v>
      </c>
      <c r="J170">
        <v>0</v>
      </c>
      <c r="K170">
        <v>14</v>
      </c>
      <c r="L170">
        <v>0</v>
      </c>
      <c r="M170">
        <v>0</v>
      </c>
      <c r="N170">
        <v>0</v>
      </c>
      <c r="O170">
        <v>710</v>
      </c>
      <c r="P170">
        <v>900</v>
      </c>
      <c r="Q170">
        <v>0</v>
      </c>
      <c r="R170">
        <v>0</v>
      </c>
      <c r="S170">
        <v>29430</v>
      </c>
      <c r="T170">
        <v>21112</v>
      </c>
      <c r="U170" t="s">
        <v>146</v>
      </c>
      <c r="V170" t="s">
        <v>147</v>
      </c>
      <c r="W170" t="s">
        <v>148</v>
      </c>
      <c r="X170" t="s">
        <v>149</v>
      </c>
      <c r="Y170">
        <v>0</v>
      </c>
    </row>
    <row r="171" spans="1:25" x14ac:dyDescent="0.25">
      <c r="A171" t="s">
        <v>161</v>
      </c>
      <c r="B171">
        <v>2111</v>
      </c>
      <c r="C171">
        <v>5</v>
      </c>
      <c r="D171" t="s">
        <v>144</v>
      </c>
      <c r="E171" t="s">
        <v>162</v>
      </c>
      <c r="F171">
        <v>1715</v>
      </c>
      <c r="G171">
        <v>0</v>
      </c>
      <c r="H171">
        <v>0</v>
      </c>
      <c r="I171">
        <v>245</v>
      </c>
      <c r="J171">
        <v>0</v>
      </c>
      <c r="K171">
        <v>14</v>
      </c>
      <c r="L171">
        <v>0</v>
      </c>
      <c r="M171">
        <v>0</v>
      </c>
      <c r="N171">
        <v>0</v>
      </c>
      <c r="O171">
        <v>1070</v>
      </c>
      <c r="P171">
        <v>1350</v>
      </c>
      <c r="Q171">
        <v>0</v>
      </c>
      <c r="R171">
        <v>0</v>
      </c>
      <c r="S171">
        <v>37910</v>
      </c>
      <c r="T171">
        <v>21112</v>
      </c>
      <c r="U171" t="s">
        <v>146</v>
      </c>
      <c r="V171" t="s">
        <v>147</v>
      </c>
      <c r="W171" t="s">
        <v>148</v>
      </c>
      <c r="X171" t="s">
        <v>149</v>
      </c>
      <c r="Y171">
        <v>0</v>
      </c>
    </row>
    <row r="172" spans="1:25" x14ac:dyDescent="0.25">
      <c r="A172" t="s">
        <v>161</v>
      </c>
      <c r="B172">
        <v>2111</v>
      </c>
      <c r="C172">
        <v>6</v>
      </c>
      <c r="D172" t="s">
        <v>144</v>
      </c>
      <c r="E172" t="s">
        <v>162</v>
      </c>
      <c r="F172">
        <v>1960</v>
      </c>
      <c r="G172">
        <v>0</v>
      </c>
      <c r="H172">
        <v>0</v>
      </c>
      <c r="I172">
        <v>280</v>
      </c>
      <c r="J172">
        <v>0</v>
      </c>
      <c r="K172">
        <v>15</v>
      </c>
      <c r="L172">
        <v>1</v>
      </c>
      <c r="M172">
        <v>0</v>
      </c>
      <c r="N172">
        <v>510</v>
      </c>
      <c r="O172">
        <v>1520</v>
      </c>
      <c r="P172">
        <v>1930</v>
      </c>
      <c r="Q172">
        <v>0</v>
      </c>
      <c r="R172">
        <v>0</v>
      </c>
      <c r="S172">
        <v>48260</v>
      </c>
      <c r="T172">
        <v>21112</v>
      </c>
      <c r="U172" t="s">
        <v>146</v>
      </c>
      <c r="V172" t="s">
        <v>147</v>
      </c>
      <c r="W172" t="s">
        <v>148</v>
      </c>
      <c r="X172" t="s">
        <v>149</v>
      </c>
      <c r="Y172">
        <v>0</v>
      </c>
    </row>
    <row r="173" spans="1:25" x14ac:dyDescent="0.25">
      <c r="A173" t="s">
        <v>161</v>
      </c>
      <c r="B173">
        <v>2111</v>
      </c>
      <c r="C173">
        <v>7</v>
      </c>
      <c r="D173" t="s">
        <v>144</v>
      </c>
      <c r="E173" t="s">
        <v>162</v>
      </c>
      <c r="F173">
        <v>2240</v>
      </c>
      <c r="G173">
        <v>0</v>
      </c>
      <c r="H173">
        <v>0</v>
      </c>
      <c r="I173">
        <v>320</v>
      </c>
      <c r="J173">
        <v>0</v>
      </c>
      <c r="K173">
        <v>15</v>
      </c>
      <c r="L173">
        <v>1</v>
      </c>
      <c r="M173">
        <v>0</v>
      </c>
      <c r="N173">
        <v>1070</v>
      </c>
      <c r="O173">
        <v>2100</v>
      </c>
      <c r="P173">
        <v>2660</v>
      </c>
      <c r="Q173">
        <v>0</v>
      </c>
      <c r="R173">
        <v>0</v>
      </c>
      <c r="S173">
        <v>60910</v>
      </c>
      <c r="T173">
        <v>21112</v>
      </c>
      <c r="U173" t="s">
        <v>146</v>
      </c>
      <c r="V173" t="s">
        <v>147</v>
      </c>
      <c r="W173" t="s">
        <v>148</v>
      </c>
      <c r="X173" t="s">
        <v>149</v>
      </c>
      <c r="Y173">
        <v>0</v>
      </c>
    </row>
    <row r="174" spans="1:25" x14ac:dyDescent="0.25">
      <c r="A174" t="s">
        <v>161</v>
      </c>
      <c r="B174">
        <v>2111</v>
      </c>
      <c r="C174">
        <v>8</v>
      </c>
      <c r="D174" t="s">
        <v>144</v>
      </c>
      <c r="E174" t="s">
        <v>162</v>
      </c>
      <c r="F174">
        <v>2520</v>
      </c>
      <c r="G174">
        <v>0</v>
      </c>
      <c r="H174">
        <v>0</v>
      </c>
      <c r="I174">
        <v>360</v>
      </c>
      <c r="J174">
        <v>0</v>
      </c>
      <c r="K174">
        <v>15</v>
      </c>
      <c r="L174">
        <v>1</v>
      </c>
      <c r="M174">
        <v>0</v>
      </c>
      <c r="N174">
        <v>1700</v>
      </c>
      <c r="O174">
        <v>2850</v>
      </c>
      <c r="P174">
        <v>3610</v>
      </c>
      <c r="Q174">
        <v>0</v>
      </c>
      <c r="R174">
        <v>0</v>
      </c>
      <c r="S174">
        <v>76360</v>
      </c>
      <c r="T174">
        <v>21112</v>
      </c>
      <c r="U174" t="s">
        <v>146</v>
      </c>
      <c r="V174" t="s">
        <v>147</v>
      </c>
      <c r="W174" t="s">
        <v>148</v>
      </c>
      <c r="X174" t="s">
        <v>149</v>
      </c>
      <c r="Y174">
        <v>0</v>
      </c>
    </row>
    <row r="175" spans="1:25" x14ac:dyDescent="0.25">
      <c r="A175" t="s">
        <v>161</v>
      </c>
      <c r="B175">
        <v>2111</v>
      </c>
      <c r="C175">
        <v>9</v>
      </c>
      <c r="D175" t="s">
        <v>144</v>
      </c>
      <c r="E175" t="s">
        <v>162</v>
      </c>
      <c r="F175">
        <v>2835</v>
      </c>
      <c r="G175">
        <v>0</v>
      </c>
      <c r="H175">
        <v>0</v>
      </c>
      <c r="I175">
        <v>405</v>
      </c>
      <c r="J175">
        <v>0</v>
      </c>
      <c r="K175">
        <v>15</v>
      </c>
      <c r="L175">
        <v>1</v>
      </c>
      <c r="M175">
        <v>0</v>
      </c>
      <c r="N175">
        <v>2390</v>
      </c>
      <c r="O175">
        <v>3800</v>
      </c>
      <c r="P175">
        <v>4830</v>
      </c>
      <c r="Q175">
        <v>0</v>
      </c>
      <c r="R175">
        <v>0</v>
      </c>
      <c r="S175">
        <v>95230</v>
      </c>
      <c r="T175">
        <v>21112</v>
      </c>
      <c r="U175" t="s">
        <v>146</v>
      </c>
      <c r="V175" t="s">
        <v>147</v>
      </c>
      <c r="W175" t="s">
        <v>148</v>
      </c>
      <c r="X175" t="s">
        <v>149</v>
      </c>
      <c r="Y175">
        <v>0</v>
      </c>
    </row>
    <row r="176" spans="1:25" x14ac:dyDescent="0.25">
      <c r="A176" t="s">
        <v>161</v>
      </c>
      <c r="B176">
        <v>2111</v>
      </c>
      <c r="C176">
        <v>10</v>
      </c>
      <c r="D176" t="s">
        <v>144</v>
      </c>
      <c r="E176" t="s">
        <v>162</v>
      </c>
      <c r="F176">
        <v>3185</v>
      </c>
      <c r="G176">
        <v>0</v>
      </c>
      <c r="H176">
        <v>0</v>
      </c>
      <c r="I176">
        <v>455</v>
      </c>
      <c r="J176">
        <v>0</v>
      </c>
      <c r="K176">
        <v>16</v>
      </c>
      <c r="L176">
        <v>2</v>
      </c>
      <c r="M176">
        <v>0</v>
      </c>
      <c r="N176">
        <v>3150</v>
      </c>
      <c r="O176">
        <v>5030</v>
      </c>
      <c r="P176">
        <v>6390</v>
      </c>
      <c r="Q176">
        <v>0</v>
      </c>
      <c r="R176">
        <v>0</v>
      </c>
      <c r="S176">
        <v>118280</v>
      </c>
      <c r="T176">
        <v>21112</v>
      </c>
      <c r="U176" t="s">
        <v>146</v>
      </c>
      <c r="V176" t="s">
        <v>147</v>
      </c>
      <c r="W176" t="s">
        <v>148</v>
      </c>
      <c r="X176" t="s">
        <v>149</v>
      </c>
      <c r="Y176">
        <v>0</v>
      </c>
    </row>
    <row r="178" spans="1:25" x14ac:dyDescent="0.25">
      <c r="A178" t="s">
        <v>203</v>
      </c>
      <c r="B178" t="s">
        <v>201</v>
      </c>
      <c r="C178">
        <v>15</v>
      </c>
      <c r="K178" t="s">
        <v>1</v>
      </c>
      <c r="L178" t="s">
        <v>2</v>
      </c>
      <c r="M178" t="s">
        <v>194</v>
      </c>
      <c r="N178" t="s">
        <v>204</v>
      </c>
      <c r="O178" t="s">
        <v>205</v>
      </c>
    </row>
    <row r="179" spans="1:25" x14ac:dyDescent="0.25">
      <c r="A179" t="s">
        <v>203</v>
      </c>
      <c r="B179" t="s">
        <v>202</v>
      </c>
      <c r="C179">
        <v>2</v>
      </c>
      <c r="H179" t="s">
        <v>132</v>
      </c>
      <c r="K179">
        <v>0.2</v>
      </c>
      <c r="L179">
        <v>-7</v>
      </c>
      <c r="M179">
        <v>8000</v>
      </c>
    </row>
    <row r="180" spans="1:25" x14ac:dyDescent="0.25">
      <c r="A180" t="s">
        <v>203</v>
      </c>
      <c r="B180" t="s">
        <v>128</v>
      </c>
      <c r="C180" t="s">
        <v>207</v>
      </c>
      <c r="H180" t="s">
        <v>133</v>
      </c>
      <c r="K180">
        <v>0.2</v>
      </c>
      <c r="L180">
        <v>180</v>
      </c>
      <c r="M180">
        <v>10000</v>
      </c>
    </row>
    <row r="181" spans="1:25" x14ac:dyDescent="0.25">
      <c r="A181" t="s">
        <v>203</v>
      </c>
      <c r="H181" t="s">
        <v>198</v>
      </c>
      <c r="K181">
        <v>0.23</v>
      </c>
      <c r="L181">
        <v>120</v>
      </c>
      <c r="M181">
        <v>15000</v>
      </c>
    </row>
    <row r="182" spans="1:25" x14ac:dyDescent="0.25">
      <c r="A182" t="s">
        <v>203</v>
      </c>
      <c r="H182" t="s">
        <v>135</v>
      </c>
      <c r="K182">
        <v>0.2</v>
      </c>
      <c r="L182">
        <v>-10</v>
      </c>
      <c r="M182">
        <v>3000</v>
      </c>
    </row>
    <row r="183" spans="1:25" x14ac:dyDescent="0.25">
      <c r="A183" t="s">
        <v>203</v>
      </c>
      <c r="H183" t="s">
        <v>136</v>
      </c>
      <c r="K183">
        <v>0</v>
      </c>
      <c r="L183">
        <v>0</v>
      </c>
      <c r="M183">
        <v>0</v>
      </c>
    </row>
    <row r="184" spans="1:25" x14ac:dyDescent="0.25">
      <c r="A184" t="s">
        <v>203</v>
      </c>
      <c r="H184" t="s">
        <v>69</v>
      </c>
      <c r="K184">
        <v>0.4</v>
      </c>
      <c r="L184">
        <v>300</v>
      </c>
      <c r="M184">
        <v>135000</v>
      </c>
      <c r="N184" s="13" t="s">
        <v>71</v>
      </c>
      <c r="O184" s="13" t="s">
        <v>232</v>
      </c>
    </row>
    <row r="187" spans="1:25" x14ac:dyDescent="0.25">
      <c r="A187" t="s">
        <v>163</v>
      </c>
      <c r="B187">
        <v>2201</v>
      </c>
      <c r="C187">
        <v>0</v>
      </c>
      <c r="D187" t="s">
        <v>144</v>
      </c>
      <c r="E187" t="s">
        <v>145</v>
      </c>
      <c r="F187">
        <v>500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 t="s">
        <v>146</v>
      </c>
      <c r="V187" t="s">
        <v>147</v>
      </c>
      <c r="W187" t="s">
        <v>148</v>
      </c>
      <c r="X187" t="s">
        <v>149</v>
      </c>
      <c r="Y187">
        <v>0</v>
      </c>
    </row>
    <row r="188" spans="1:25" x14ac:dyDescent="0.25">
      <c r="A188" t="s">
        <v>163</v>
      </c>
      <c r="B188">
        <v>2201</v>
      </c>
      <c r="C188">
        <v>1</v>
      </c>
      <c r="D188" t="s">
        <v>144</v>
      </c>
      <c r="E188" t="s">
        <v>164</v>
      </c>
      <c r="F188">
        <v>1250</v>
      </c>
      <c r="G188">
        <v>0</v>
      </c>
      <c r="H188">
        <v>0</v>
      </c>
      <c r="I188">
        <v>375</v>
      </c>
      <c r="J188">
        <v>0</v>
      </c>
      <c r="K188">
        <v>5</v>
      </c>
      <c r="L188">
        <v>5</v>
      </c>
      <c r="M188">
        <v>0</v>
      </c>
      <c r="N188">
        <v>0</v>
      </c>
      <c r="O188">
        <v>180</v>
      </c>
      <c r="P188">
        <v>120</v>
      </c>
      <c r="Q188">
        <v>0</v>
      </c>
      <c r="R188">
        <v>0</v>
      </c>
      <c r="S188">
        <v>300</v>
      </c>
      <c r="T188">
        <v>22011</v>
      </c>
      <c r="U188" t="s">
        <v>146</v>
      </c>
      <c r="V188" t="s">
        <v>147</v>
      </c>
      <c r="W188" t="s">
        <v>148</v>
      </c>
      <c r="X188" t="s">
        <v>149</v>
      </c>
      <c r="Y188">
        <v>0</v>
      </c>
    </row>
    <row r="189" spans="1:25" x14ac:dyDescent="0.25">
      <c r="A189" t="s">
        <v>163</v>
      </c>
      <c r="B189">
        <v>2201</v>
      </c>
      <c r="C189">
        <v>2</v>
      </c>
      <c r="D189" t="s">
        <v>144</v>
      </c>
      <c r="E189" t="s">
        <v>164</v>
      </c>
      <c r="F189">
        <v>1500</v>
      </c>
      <c r="G189">
        <v>0</v>
      </c>
      <c r="H189">
        <v>0</v>
      </c>
      <c r="I189">
        <v>450</v>
      </c>
      <c r="J189">
        <v>0</v>
      </c>
      <c r="K189">
        <v>5</v>
      </c>
      <c r="L189">
        <v>5</v>
      </c>
      <c r="M189">
        <v>0</v>
      </c>
      <c r="N189">
        <v>0</v>
      </c>
      <c r="O189">
        <v>320</v>
      </c>
      <c r="P189">
        <v>280</v>
      </c>
      <c r="Q189">
        <v>0</v>
      </c>
      <c r="R189">
        <v>0</v>
      </c>
      <c r="S189">
        <v>550</v>
      </c>
      <c r="T189">
        <v>22012</v>
      </c>
      <c r="U189" t="s">
        <v>146</v>
      </c>
      <c r="V189" t="s">
        <v>147</v>
      </c>
      <c r="W189" t="s">
        <v>148</v>
      </c>
      <c r="X189" t="s">
        <v>149</v>
      </c>
      <c r="Y189">
        <v>0</v>
      </c>
    </row>
    <row r="190" spans="1:25" x14ac:dyDescent="0.25">
      <c r="A190" t="s">
        <v>163</v>
      </c>
      <c r="B190">
        <v>2201</v>
      </c>
      <c r="C190">
        <v>3</v>
      </c>
      <c r="D190" t="s">
        <v>144</v>
      </c>
      <c r="E190" t="s">
        <v>164</v>
      </c>
      <c r="F190">
        <v>1800</v>
      </c>
      <c r="G190">
        <v>0</v>
      </c>
      <c r="H190">
        <v>0</v>
      </c>
      <c r="I190">
        <v>540</v>
      </c>
      <c r="J190">
        <v>0</v>
      </c>
      <c r="K190">
        <v>5</v>
      </c>
      <c r="L190">
        <v>5</v>
      </c>
      <c r="M190">
        <v>0</v>
      </c>
      <c r="N190">
        <v>0</v>
      </c>
      <c r="O190">
        <v>480</v>
      </c>
      <c r="P190">
        <v>470</v>
      </c>
      <c r="Q190">
        <v>0</v>
      </c>
      <c r="R190">
        <v>0</v>
      </c>
      <c r="S190">
        <v>910</v>
      </c>
      <c r="T190">
        <v>22013</v>
      </c>
      <c r="U190" t="s">
        <v>146</v>
      </c>
      <c r="V190" t="s">
        <v>147</v>
      </c>
      <c r="W190" t="s">
        <v>148</v>
      </c>
      <c r="X190" t="s">
        <v>149</v>
      </c>
      <c r="Y190">
        <v>0</v>
      </c>
    </row>
    <row r="191" spans="1:25" x14ac:dyDescent="0.25">
      <c r="A191" t="s">
        <v>163</v>
      </c>
      <c r="B191">
        <v>2201</v>
      </c>
      <c r="C191">
        <v>4</v>
      </c>
      <c r="D191" t="s">
        <v>144</v>
      </c>
      <c r="E191" t="s">
        <v>164</v>
      </c>
      <c r="F191">
        <v>2150</v>
      </c>
      <c r="G191">
        <v>0</v>
      </c>
      <c r="H191">
        <v>0</v>
      </c>
      <c r="I191">
        <v>645</v>
      </c>
      <c r="J191">
        <v>0</v>
      </c>
      <c r="K191">
        <v>5</v>
      </c>
      <c r="L191">
        <v>5</v>
      </c>
      <c r="M191">
        <v>0</v>
      </c>
      <c r="N191">
        <v>0</v>
      </c>
      <c r="O191">
        <v>690</v>
      </c>
      <c r="P191">
        <v>720</v>
      </c>
      <c r="Q191">
        <v>0</v>
      </c>
      <c r="R191">
        <v>0</v>
      </c>
      <c r="S191">
        <v>1460</v>
      </c>
      <c r="T191">
        <v>22014</v>
      </c>
      <c r="U191" t="s">
        <v>146</v>
      </c>
      <c r="V191" t="s">
        <v>147</v>
      </c>
      <c r="W191" t="s">
        <v>148</v>
      </c>
      <c r="X191" t="s">
        <v>149</v>
      </c>
      <c r="Y191">
        <v>0</v>
      </c>
    </row>
    <row r="192" spans="1:25" x14ac:dyDescent="0.25">
      <c r="A192" t="s">
        <v>163</v>
      </c>
      <c r="B192">
        <v>2201</v>
      </c>
      <c r="C192">
        <v>5</v>
      </c>
      <c r="D192" t="s">
        <v>144</v>
      </c>
      <c r="E192" t="s">
        <v>164</v>
      </c>
      <c r="F192">
        <v>2450</v>
      </c>
      <c r="G192">
        <v>0</v>
      </c>
      <c r="H192">
        <v>0</v>
      </c>
      <c r="I192">
        <v>735</v>
      </c>
      <c r="J192">
        <v>0</v>
      </c>
      <c r="K192">
        <v>5</v>
      </c>
      <c r="L192">
        <v>5</v>
      </c>
      <c r="M192">
        <v>0</v>
      </c>
      <c r="N192">
        <v>0</v>
      </c>
      <c r="O192">
        <v>940</v>
      </c>
      <c r="P192">
        <v>1030</v>
      </c>
      <c r="Q192">
        <v>0</v>
      </c>
      <c r="R192">
        <v>0</v>
      </c>
      <c r="S192">
        <v>2280</v>
      </c>
      <c r="T192">
        <v>22015</v>
      </c>
      <c r="U192" t="s">
        <v>146</v>
      </c>
      <c r="V192" t="s">
        <v>147</v>
      </c>
      <c r="W192" t="s">
        <v>148</v>
      </c>
      <c r="X192" t="s">
        <v>149</v>
      </c>
      <c r="Y192">
        <v>0</v>
      </c>
    </row>
    <row r="193" spans="1:25" x14ac:dyDescent="0.25">
      <c r="A193" t="s">
        <v>163</v>
      </c>
      <c r="B193">
        <v>2201</v>
      </c>
      <c r="C193">
        <v>6</v>
      </c>
      <c r="D193" t="s">
        <v>144</v>
      </c>
      <c r="E193" t="s">
        <v>164</v>
      </c>
      <c r="F193">
        <v>2800</v>
      </c>
      <c r="G193">
        <v>0</v>
      </c>
      <c r="H193">
        <v>0</v>
      </c>
      <c r="I193">
        <v>840</v>
      </c>
      <c r="J193">
        <v>0</v>
      </c>
      <c r="K193">
        <v>6</v>
      </c>
      <c r="L193">
        <v>6</v>
      </c>
      <c r="M193">
        <v>0</v>
      </c>
      <c r="N193">
        <v>0</v>
      </c>
      <c r="O193">
        <v>1240</v>
      </c>
      <c r="P193">
        <v>1420</v>
      </c>
      <c r="Q193">
        <v>0</v>
      </c>
      <c r="R193">
        <v>0</v>
      </c>
      <c r="S193">
        <v>3500</v>
      </c>
      <c r="T193">
        <v>22015</v>
      </c>
      <c r="U193" t="s">
        <v>146</v>
      </c>
      <c r="V193" t="s">
        <v>147</v>
      </c>
      <c r="W193" t="s">
        <v>148</v>
      </c>
      <c r="X193" t="s">
        <v>149</v>
      </c>
      <c r="Y193">
        <v>0</v>
      </c>
    </row>
    <row r="194" spans="1:25" x14ac:dyDescent="0.25">
      <c r="A194" t="s">
        <v>163</v>
      </c>
      <c r="B194">
        <v>2201</v>
      </c>
      <c r="C194">
        <v>7</v>
      </c>
      <c r="D194" t="s">
        <v>144</v>
      </c>
      <c r="E194" t="s">
        <v>164</v>
      </c>
      <c r="F194">
        <v>3200</v>
      </c>
      <c r="G194">
        <v>0</v>
      </c>
      <c r="H194">
        <v>0</v>
      </c>
      <c r="I194">
        <v>960</v>
      </c>
      <c r="J194">
        <v>0</v>
      </c>
      <c r="K194">
        <v>6</v>
      </c>
      <c r="L194">
        <v>6</v>
      </c>
      <c r="M194">
        <v>0</v>
      </c>
      <c r="N194">
        <v>0</v>
      </c>
      <c r="O194">
        <v>1620</v>
      </c>
      <c r="P194">
        <v>1920</v>
      </c>
      <c r="Q194">
        <v>0</v>
      </c>
      <c r="R194">
        <v>0</v>
      </c>
      <c r="S194">
        <v>5310</v>
      </c>
      <c r="T194">
        <v>22017</v>
      </c>
      <c r="U194" t="s">
        <v>146</v>
      </c>
      <c r="V194" t="s">
        <v>147</v>
      </c>
      <c r="W194" t="s">
        <v>148</v>
      </c>
      <c r="X194" t="s">
        <v>149</v>
      </c>
      <c r="Y194">
        <v>0</v>
      </c>
    </row>
    <row r="195" spans="1:25" x14ac:dyDescent="0.25">
      <c r="A195" t="s">
        <v>163</v>
      </c>
      <c r="B195">
        <v>2201</v>
      </c>
      <c r="C195">
        <v>8</v>
      </c>
      <c r="D195" t="s">
        <v>144</v>
      </c>
      <c r="E195" t="s">
        <v>164</v>
      </c>
      <c r="F195">
        <v>3600</v>
      </c>
      <c r="G195">
        <v>0</v>
      </c>
      <c r="H195">
        <v>0</v>
      </c>
      <c r="I195">
        <v>1080</v>
      </c>
      <c r="J195">
        <v>0</v>
      </c>
      <c r="K195">
        <v>6</v>
      </c>
      <c r="L195">
        <v>6</v>
      </c>
      <c r="M195">
        <v>0</v>
      </c>
      <c r="N195">
        <v>360</v>
      </c>
      <c r="O195">
        <v>2070</v>
      </c>
      <c r="P195">
        <v>2540</v>
      </c>
      <c r="Q195">
        <v>0</v>
      </c>
      <c r="R195">
        <v>0</v>
      </c>
      <c r="S195">
        <v>8030</v>
      </c>
      <c r="T195">
        <v>22017</v>
      </c>
      <c r="U195" t="s">
        <v>146</v>
      </c>
      <c r="V195" t="s">
        <v>147</v>
      </c>
      <c r="W195" t="s">
        <v>148</v>
      </c>
      <c r="X195" t="s">
        <v>149</v>
      </c>
      <c r="Y195">
        <v>0</v>
      </c>
    </row>
    <row r="196" spans="1:25" x14ac:dyDescent="0.25">
      <c r="A196" t="s">
        <v>163</v>
      </c>
      <c r="B196">
        <v>2201</v>
      </c>
      <c r="C196">
        <v>9</v>
      </c>
      <c r="D196" t="s">
        <v>144</v>
      </c>
      <c r="E196" t="s">
        <v>164</v>
      </c>
      <c r="F196">
        <v>4050</v>
      </c>
      <c r="G196">
        <v>0</v>
      </c>
      <c r="H196">
        <v>0</v>
      </c>
      <c r="I196">
        <v>1215</v>
      </c>
      <c r="J196">
        <v>0</v>
      </c>
      <c r="K196">
        <v>6</v>
      </c>
      <c r="L196">
        <v>6</v>
      </c>
      <c r="M196">
        <v>0</v>
      </c>
      <c r="N196">
        <v>790</v>
      </c>
      <c r="O196">
        <v>2630</v>
      </c>
      <c r="P196">
        <v>3320</v>
      </c>
      <c r="Q196">
        <v>0</v>
      </c>
      <c r="R196">
        <v>0</v>
      </c>
      <c r="S196">
        <v>12070</v>
      </c>
      <c r="T196">
        <v>22017</v>
      </c>
      <c r="U196" t="s">
        <v>146</v>
      </c>
      <c r="V196" t="s">
        <v>147</v>
      </c>
      <c r="W196" t="s">
        <v>148</v>
      </c>
      <c r="X196" t="s">
        <v>149</v>
      </c>
      <c r="Y196">
        <v>0</v>
      </c>
    </row>
    <row r="197" spans="1:25" x14ac:dyDescent="0.25">
      <c r="A197" t="s">
        <v>163</v>
      </c>
      <c r="B197">
        <v>2201</v>
      </c>
      <c r="C197">
        <v>10</v>
      </c>
      <c r="D197" t="s">
        <v>144</v>
      </c>
      <c r="E197" t="s">
        <v>164</v>
      </c>
      <c r="F197">
        <v>4550</v>
      </c>
      <c r="G197">
        <v>0</v>
      </c>
      <c r="H197">
        <v>0</v>
      </c>
      <c r="I197">
        <v>1365</v>
      </c>
      <c r="J197">
        <v>0</v>
      </c>
      <c r="K197">
        <v>6</v>
      </c>
      <c r="L197">
        <v>6</v>
      </c>
      <c r="M197">
        <v>0</v>
      </c>
      <c r="N197">
        <v>1330</v>
      </c>
      <c r="O197">
        <v>3310</v>
      </c>
      <c r="P197">
        <v>4300</v>
      </c>
      <c r="Q197">
        <v>0</v>
      </c>
      <c r="R197">
        <v>0</v>
      </c>
      <c r="S197">
        <v>18110</v>
      </c>
      <c r="T197">
        <v>22010</v>
      </c>
      <c r="U197" t="s">
        <v>146</v>
      </c>
      <c r="V197" t="s">
        <v>147</v>
      </c>
      <c r="W197" t="s">
        <v>148</v>
      </c>
      <c r="X197" t="s">
        <v>149</v>
      </c>
      <c r="Y197">
        <v>0</v>
      </c>
    </row>
    <row r="198" spans="1:25" x14ac:dyDescent="0.25">
      <c r="A198" t="s">
        <v>163</v>
      </c>
      <c r="B198">
        <v>2201</v>
      </c>
      <c r="C198">
        <v>11</v>
      </c>
      <c r="D198" t="s">
        <v>144</v>
      </c>
      <c r="E198" t="s">
        <v>164</v>
      </c>
      <c r="F198">
        <v>5050</v>
      </c>
      <c r="G198">
        <v>0</v>
      </c>
      <c r="H198">
        <v>0</v>
      </c>
      <c r="I198">
        <v>1515</v>
      </c>
      <c r="J198">
        <v>0</v>
      </c>
      <c r="K198">
        <v>7</v>
      </c>
      <c r="L198">
        <v>7</v>
      </c>
      <c r="M198">
        <v>0</v>
      </c>
      <c r="N198">
        <v>1980</v>
      </c>
      <c r="O198">
        <v>4140</v>
      </c>
      <c r="P198">
        <v>5540</v>
      </c>
      <c r="Q198">
        <v>240</v>
      </c>
      <c r="R198">
        <v>0</v>
      </c>
      <c r="S198">
        <v>27120</v>
      </c>
      <c r="T198">
        <v>22010</v>
      </c>
      <c r="U198" t="s">
        <v>146</v>
      </c>
      <c r="V198" t="s">
        <v>147</v>
      </c>
      <c r="W198" t="s">
        <v>148</v>
      </c>
      <c r="X198" t="s">
        <v>149</v>
      </c>
      <c r="Y198">
        <v>0</v>
      </c>
    </row>
    <row r="199" spans="1:25" x14ac:dyDescent="0.25">
      <c r="A199" t="s">
        <v>163</v>
      </c>
      <c r="B199">
        <v>2201</v>
      </c>
      <c r="C199">
        <v>12</v>
      </c>
      <c r="D199" t="s">
        <v>144</v>
      </c>
      <c r="E199" t="s">
        <v>164</v>
      </c>
      <c r="F199">
        <v>5600</v>
      </c>
      <c r="G199">
        <v>0</v>
      </c>
      <c r="H199">
        <v>0</v>
      </c>
      <c r="I199">
        <v>1680</v>
      </c>
      <c r="J199">
        <v>0</v>
      </c>
      <c r="K199">
        <v>7</v>
      </c>
      <c r="L199">
        <v>7</v>
      </c>
      <c r="M199">
        <v>0</v>
      </c>
      <c r="N199">
        <v>2780</v>
      </c>
      <c r="O199">
        <v>5150</v>
      </c>
      <c r="P199">
        <v>7100</v>
      </c>
      <c r="Q199">
        <v>540</v>
      </c>
      <c r="R199">
        <v>0</v>
      </c>
      <c r="S199">
        <v>40550</v>
      </c>
      <c r="T199">
        <v>22010</v>
      </c>
      <c r="U199" t="s">
        <v>146</v>
      </c>
      <c r="V199" t="s">
        <v>147</v>
      </c>
      <c r="W199" t="s">
        <v>148</v>
      </c>
      <c r="X199" t="s">
        <v>149</v>
      </c>
      <c r="Y199">
        <v>0</v>
      </c>
    </row>
    <row r="200" spans="1:25" x14ac:dyDescent="0.25">
      <c r="A200" t="s">
        <v>163</v>
      </c>
      <c r="B200">
        <v>2201</v>
      </c>
      <c r="C200">
        <v>13</v>
      </c>
      <c r="D200" t="s">
        <v>144</v>
      </c>
      <c r="E200" t="s">
        <v>164</v>
      </c>
      <c r="F200">
        <v>6200</v>
      </c>
      <c r="G200">
        <v>0</v>
      </c>
      <c r="H200">
        <v>0</v>
      </c>
      <c r="I200">
        <v>1860</v>
      </c>
      <c r="J200">
        <v>0</v>
      </c>
      <c r="K200">
        <v>7</v>
      </c>
      <c r="L200">
        <v>7</v>
      </c>
      <c r="M200">
        <v>0</v>
      </c>
      <c r="N200">
        <v>3750</v>
      </c>
      <c r="O200">
        <v>6380</v>
      </c>
      <c r="P200">
        <v>9060</v>
      </c>
      <c r="Q200">
        <v>910</v>
      </c>
      <c r="R200">
        <v>0</v>
      </c>
      <c r="S200">
        <v>60590</v>
      </c>
      <c r="T200">
        <v>22010</v>
      </c>
      <c r="U200" t="s">
        <v>146</v>
      </c>
      <c r="V200" t="s">
        <v>147</v>
      </c>
      <c r="W200" t="s">
        <v>148</v>
      </c>
      <c r="X200" t="s">
        <v>149</v>
      </c>
      <c r="Y200">
        <v>0</v>
      </c>
    </row>
    <row r="201" spans="1:25" x14ac:dyDescent="0.25">
      <c r="A201" t="s">
        <v>163</v>
      </c>
      <c r="B201">
        <v>2201</v>
      </c>
      <c r="C201">
        <v>14</v>
      </c>
      <c r="D201" t="s">
        <v>144</v>
      </c>
      <c r="E201" t="s">
        <v>164</v>
      </c>
      <c r="F201">
        <v>6800</v>
      </c>
      <c r="G201">
        <v>0</v>
      </c>
      <c r="H201">
        <v>0</v>
      </c>
      <c r="I201">
        <v>2040</v>
      </c>
      <c r="J201">
        <v>0</v>
      </c>
      <c r="K201">
        <v>7</v>
      </c>
      <c r="L201">
        <v>7</v>
      </c>
      <c r="M201">
        <v>0</v>
      </c>
      <c r="N201">
        <v>4930</v>
      </c>
      <c r="O201">
        <v>7900</v>
      </c>
      <c r="P201">
        <v>11530</v>
      </c>
      <c r="Q201">
        <v>1350</v>
      </c>
      <c r="R201">
        <v>0</v>
      </c>
      <c r="S201">
        <v>90490</v>
      </c>
      <c r="T201">
        <v>22010</v>
      </c>
      <c r="U201" t="s">
        <v>146</v>
      </c>
      <c r="V201" t="s">
        <v>147</v>
      </c>
      <c r="W201" t="s">
        <v>148</v>
      </c>
      <c r="X201" t="s">
        <v>149</v>
      </c>
      <c r="Y201">
        <v>0</v>
      </c>
    </row>
    <row r="202" spans="1:25" x14ac:dyDescent="0.25">
      <c r="A202" t="s">
        <v>163</v>
      </c>
      <c r="B202">
        <v>2201</v>
      </c>
      <c r="C202">
        <v>15</v>
      </c>
      <c r="D202" t="s">
        <v>144</v>
      </c>
      <c r="E202" t="s">
        <v>164</v>
      </c>
      <c r="F202">
        <v>7500</v>
      </c>
      <c r="G202">
        <v>0</v>
      </c>
      <c r="H202">
        <v>0</v>
      </c>
      <c r="I202">
        <v>2250</v>
      </c>
      <c r="J202">
        <v>0</v>
      </c>
      <c r="K202">
        <v>8</v>
      </c>
      <c r="L202">
        <v>8</v>
      </c>
      <c r="M202">
        <v>0</v>
      </c>
      <c r="N202">
        <v>6380</v>
      </c>
      <c r="O202">
        <v>9740</v>
      </c>
      <c r="P202">
        <v>14640</v>
      </c>
      <c r="Q202">
        <v>1900</v>
      </c>
      <c r="R202">
        <v>0</v>
      </c>
      <c r="S202">
        <v>135100</v>
      </c>
      <c r="T202">
        <v>22010</v>
      </c>
      <c r="U202" t="s">
        <v>146</v>
      </c>
      <c r="V202" t="s">
        <v>147</v>
      </c>
      <c r="W202" t="s">
        <v>148</v>
      </c>
      <c r="X202" t="s">
        <v>149</v>
      </c>
      <c r="Y202">
        <v>0</v>
      </c>
    </row>
    <row r="204" spans="1:25" x14ac:dyDescent="0.25">
      <c r="A204" t="s">
        <v>203</v>
      </c>
      <c r="B204" t="s">
        <v>201</v>
      </c>
      <c r="C204">
        <v>15</v>
      </c>
      <c r="K204" t="s">
        <v>1</v>
      </c>
      <c r="L204" t="s">
        <v>2</v>
      </c>
      <c r="M204" t="s">
        <v>194</v>
      </c>
      <c r="N204" t="s">
        <v>204</v>
      </c>
      <c r="O204" t="s">
        <v>205</v>
      </c>
    </row>
    <row r="205" spans="1:25" x14ac:dyDescent="0.25">
      <c r="A205" t="s">
        <v>203</v>
      </c>
      <c r="B205" t="s">
        <v>202</v>
      </c>
      <c r="C205">
        <v>3</v>
      </c>
      <c r="H205" t="s">
        <v>132</v>
      </c>
      <c r="K205">
        <v>0.2</v>
      </c>
      <c r="L205">
        <v>-7</v>
      </c>
      <c r="M205">
        <v>8000</v>
      </c>
    </row>
    <row r="206" spans="1:25" x14ac:dyDescent="0.25">
      <c r="A206" t="s">
        <v>203</v>
      </c>
      <c r="B206" t="s">
        <v>128</v>
      </c>
      <c r="C206" t="s">
        <v>207</v>
      </c>
      <c r="H206" t="s">
        <v>133</v>
      </c>
      <c r="K206">
        <v>0.2</v>
      </c>
      <c r="L206">
        <v>180</v>
      </c>
      <c r="M206">
        <v>10000</v>
      </c>
    </row>
    <row r="207" spans="1:25" x14ac:dyDescent="0.25">
      <c r="A207" t="s">
        <v>203</v>
      </c>
      <c r="H207" t="s">
        <v>198</v>
      </c>
      <c r="K207">
        <v>0.23</v>
      </c>
      <c r="L207">
        <v>120</v>
      </c>
      <c r="M207">
        <v>15000</v>
      </c>
    </row>
    <row r="208" spans="1:25" x14ac:dyDescent="0.25">
      <c r="A208" t="s">
        <v>203</v>
      </c>
      <c r="H208" t="s">
        <v>135</v>
      </c>
      <c r="K208">
        <v>0.2</v>
      </c>
      <c r="L208">
        <v>-10</v>
      </c>
      <c r="M208">
        <v>3000</v>
      </c>
    </row>
    <row r="209" spans="1:25" x14ac:dyDescent="0.25">
      <c r="A209" t="s">
        <v>203</v>
      </c>
      <c r="H209" t="s">
        <v>136</v>
      </c>
      <c r="K209">
        <v>0</v>
      </c>
      <c r="L209">
        <v>0</v>
      </c>
      <c r="M209">
        <v>0</v>
      </c>
    </row>
    <row r="210" spans="1:25" x14ac:dyDescent="0.25">
      <c r="A210" t="s">
        <v>203</v>
      </c>
      <c r="H210" t="s">
        <v>69</v>
      </c>
      <c r="K210">
        <v>0.4</v>
      </c>
      <c r="L210">
        <v>300</v>
      </c>
      <c r="M210">
        <v>135000</v>
      </c>
      <c r="N210" s="13" t="s">
        <v>71</v>
      </c>
      <c r="O210" s="13" t="s">
        <v>232</v>
      </c>
    </row>
    <row r="213" spans="1:25" x14ac:dyDescent="0.25">
      <c r="A213" t="s">
        <v>165</v>
      </c>
      <c r="B213">
        <v>2204</v>
      </c>
      <c r="C213">
        <v>0</v>
      </c>
      <c r="D213" t="s">
        <v>144</v>
      </c>
      <c r="E213" t="s">
        <v>145</v>
      </c>
      <c r="F213">
        <v>500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 t="s">
        <v>146</v>
      </c>
      <c r="V213" t="s">
        <v>147</v>
      </c>
      <c r="W213" t="s">
        <v>148</v>
      </c>
      <c r="X213" t="s">
        <v>149</v>
      </c>
      <c r="Y213">
        <v>0</v>
      </c>
    </row>
    <row r="214" spans="1:25" x14ac:dyDescent="0.25">
      <c r="A214" t="s">
        <v>165</v>
      </c>
      <c r="B214">
        <v>2204</v>
      </c>
      <c r="C214">
        <v>1</v>
      </c>
      <c r="D214" t="s">
        <v>144</v>
      </c>
      <c r="E214" t="s">
        <v>166</v>
      </c>
      <c r="F214">
        <v>1550</v>
      </c>
      <c r="G214">
        <v>0</v>
      </c>
      <c r="H214">
        <v>0</v>
      </c>
      <c r="I214">
        <v>465</v>
      </c>
      <c r="J214">
        <v>0</v>
      </c>
      <c r="K214">
        <v>5</v>
      </c>
      <c r="L214">
        <v>5</v>
      </c>
      <c r="M214">
        <v>0</v>
      </c>
      <c r="N214">
        <v>0</v>
      </c>
      <c r="O214">
        <v>180</v>
      </c>
      <c r="P214">
        <v>120</v>
      </c>
      <c r="Q214">
        <v>0</v>
      </c>
      <c r="R214">
        <v>0</v>
      </c>
      <c r="S214">
        <v>300</v>
      </c>
      <c r="T214">
        <v>22041</v>
      </c>
      <c r="U214" t="s">
        <v>146</v>
      </c>
      <c r="V214" t="s">
        <v>147</v>
      </c>
      <c r="W214" t="s">
        <v>148</v>
      </c>
      <c r="X214" t="s">
        <v>149</v>
      </c>
      <c r="Y214">
        <v>0</v>
      </c>
    </row>
    <row r="215" spans="1:25" x14ac:dyDescent="0.25">
      <c r="A215" t="s">
        <v>165</v>
      </c>
      <c r="B215">
        <v>2204</v>
      </c>
      <c r="C215">
        <v>2</v>
      </c>
      <c r="D215" t="s">
        <v>144</v>
      </c>
      <c r="E215" t="s">
        <v>166</v>
      </c>
      <c r="F215">
        <v>1800</v>
      </c>
      <c r="G215">
        <v>0</v>
      </c>
      <c r="H215">
        <v>0</v>
      </c>
      <c r="I215">
        <v>540</v>
      </c>
      <c r="J215">
        <v>0</v>
      </c>
      <c r="K215">
        <v>5</v>
      </c>
      <c r="L215">
        <v>5</v>
      </c>
      <c r="M215">
        <v>0</v>
      </c>
      <c r="N215">
        <v>0</v>
      </c>
      <c r="O215">
        <v>320</v>
      </c>
      <c r="P215">
        <v>280</v>
      </c>
      <c r="Q215">
        <v>0</v>
      </c>
      <c r="R215">
        <v>0</v>
      </c>
      <c r="S215">
        <v>550</v>
      </c>
      <c r="T215">
        <v>22042</v>
      </c>
      <c r="U215" t="s">
        <v>146</v>
      </c>
      <c r="V215" t="s">
        <v>147</v>
      </c>
      <c r="W215" t="s">
        <v>148</v>
      </c>
      <c r="X215" t="s">
        <v>149</v>
      </c>
      <c r="Y215">
        <v>0</v>
      </c>
    </row>
    <row r="216" spans="1:25" x14ac:dyDescent="0.25">
      <c r="A216" t="s">
        <v>165</v>
      </c>
      <c r="B216">
        <v>2204</v>
      </c>
      <c r="C216">
        <v>3</v>
      </c>
      <c r="D216" t="s">
        <v>144</v>
      </c>
      <c r="E216" t="s">
        <v>166</v>
      </c>
      <c r="F216">
        <v>2100</v>
      </c>
      <c r="G216">
        <v>0</v>
      </c>
      <c r="H216">
        <v>0</v>
      </c>
      <c r="I216">
        <v>630</v>
      </c>
      <c r="J216">
        <v>0</v>
      </c>
      <c r="K216">
        <v>5</v>
      </c>
      <c r="L216">
        <v>5</v>
      </c>
      <c r="M216">
        <v>0</v>
      </c>
      <c r="N216">
        <v>0</v>
      </c>
      <c r="O216">
        <v>480</v>
      </c>
      <c r="P216">
        <v>470</v>
      </c>
      <c r="Q216">
        <v>0</v>
      </c>
      <c r="R216">
        <v>0</v>
      </c>
      <c r="S216">
        <v>910</v>
      </c>
      <c r="T216">
        <v>22043</v>
      </c>
      <c r="U216" t="s">
        <v>146</v>
      </c>
      <c r="V216" t="s">
        <v>147</v>
      </c>
      <c r="W216" t="s">
        <v>148</v>
      </c>
      <c r="X216" t="s">
        <v>149</v>
      </c>
      <c r="Y216">
        <v>0</v>
      </c>
    </row>
    <row r="217" spans="1:25" x14ac:dyDescent="0.25">
      <c r="A217" t="s">
        <v>165</v>
      </c>
      <c r="B217">
        <v>2204</v>
      </c>
      <c r="C217">
        <v>4</v>
      </c>
      <c r="D217" t="s">
        <v>144</v>
      </c>
      <c r="E217" t="s">
        <v>166</v>
      </c>
      <c r="F217">
        <v>2450</v>
      </c>
      <c r="G217">
        <v>0</v>
      </c>
      <c r="H217">
        <v>0</v>
      </c>
      <c r="I217">
        <v>735</v>
      </c>
      <c r="J217">
        <v>0</v>
      </c>
      <c r="K217">
        <v>5</v>
      </c>
      <c r="L217">
        <v>5</v>
      </c>
      <c r="M217">
        <v>0</v>
      </c>
      <c r="N217">
        <v>0</v>
      </c>
      <c r="O217">
        <v>690</v>
      </c>
      <c r="P217">
        <v>720</v>
      </c>
      <c r="Q217">
        <v>0</v>
      </c>
      <c r="R217">
        <v>0</v>
      </c>
      <c r="S217">
        <v>1460</v>
      </c>
      <c r="T217">
        <v>22043</v>
      </c>
      <c r="U217" t="s">
        <v>146</v>
      </c>
      <c r="V217" t="s">
        <v>147</v>
      </c>
      <c r="W217" t="s">
        <v>148</v>
      </c>
      <c r="X217" t="s">
        <v>149</v>
      </c>
      <c r="Y217">
        <v>0</v>
      </c>
    </row>
    <row r="218" spans="1:25" x14ac:dyDescent="0.25">
      <c r="A218" t="s">
        <v>165</v>
      </c>
      <c r="B218">
        <v>2204</v>
      </c>
      <c r="C218">
        <v>5</v>
      </c>
      <c r="D218" t="s">
        <v>144</v>
      </c>
      <c r="E218" t="s">
        <v>166</v>
      </c>
      <c r="F218">
        <v>2750</v>
      </c>
      <c r="G218">
        <v>0</v>
      </c>
      <c r="H218">
        <v>0</v>
      </c>
      <c r="I218">
        <v>825</v>
      </c>
      <c r="J218">
        <v>0</v>
      </c>
      <c r="K218">
        <v>5</v>
      </c>
      <c r="L218">
        <v>5</v>
      </c>
      <c r="M218">
        <v>0</v>
      </c>
      <c r="N218">
        <v>0</v>
      </c>
      <c r="O218">
        <v>940</v>
      </c>
      <c r="P218">
        <v>1030</v>
      </c>
      <c r="Q218">
        <v>0</v>
      </c>
      <c r="R218">
        <v>0</v>
      </c>
      <c r="S218">
        <v>2280</v>
      </c>
      <c r="T218">
        <v>22043</v>
      </c>
      <c r="U218" t="s">
        <v>146</v>
      </c>
      <c r="V218" t="s">
        <v>147</v>
      </c>
      <c r="W218" t="s">
        <v>148</v>
      </c>
      <c r="X218" t="s">
        <v>149</v>
      </c>
      <c r="Y218">
        <v>0</v>
      </c>
    </row>
    <row r="219" spans="1:25" x14ac:dyDescent="0.25">
      <c r="A219" t="s">
        <v>165</v>
      </c>
      <c r="B219">
        <v>2204</v>
      </c>
      <c r="C219">
        <v>6</v>
      </c>
      <c r="D219" t="s">
        <v>144</v>
      </c>
      <c r="E219" t="s">
        <v>166</v>
      </c>
      <c r="F219">
        <v>3100</v>
      </c>
      <c r="G219">
        <v>0</v>
      </c>
      <c r="H219">
        <v>0</v>
      </c>
      <c r="I219">
        <v>930</v>
      </c>
      <c r="J219">
        <v>0</v>
      </c>
      <c r="K219">
        <v>6</v>
      </c>
      <c r="L219">
        <v>6</v>
      </c>
      <c r="M219">
        <v>0</v>
      </c>
      <c r="N219">
        <v>0</v>
      </c>
      <c r="O219">
        <v>1240</v>
      </c>
      <c r="P219">
        <v>1420</v>
      </c>
      <c r="Q219">
        <v>0</v>
      </c>
      <c r="R219">
        <v>0</v>
      </c>
      <c r="S219">
        <v>3500</v>
      </c>
      <c r="T219">
        <v>22043</v>
      </c>
      <c r="U219" t="s">
        <v>146</v>
      </c>
      <c r="V219" t="s">
        <v>147</v>
      </c>
      <c r="W219" t="s">
        <v>148</v>
      </c>
      <c r="X219" t="s">
        <v>149</v>
      </c>
      <c r="Y219">
        <v>0</v>
      </c>
    </row>
    <row r="220" spans="1:25" x14ac:dyDescent="0.25">
      <c r="A220" t="s">
        <v>165</v>
      </c>
      <c r="B220">
        <v>2204</v>
      </c>
      <c r="C220">
        <v>7</v>
      </c>
      <c r="D220" t="s">
        <v>144</v>
      </c>
      <c r="E220" t="s">
        <v>166</v>
      </c>
      <c r="F220">
        <v>3500</v>
      </c>
      <c r="G220">
        <v>0</v>
      </c>
      <c r="H220">
        <v>0</v>
      </c>
      <c r="I220">
        <v>1050</v>
      </c>
      <c r="J220">
        <v>0</v>
      </c>
      <c r="K220">
        <v>6</v>
      </c>
      <c r="L220">
        <v>6</v>
      </c>
      <c r="M220">
        <v>0</v>
      </c>
      <c r="N220">
        <v>0</v>
      </c>
      <c r="O220">
        <v>1620</v>
      </c>
      <c r="P220">
        <v>1920</v>
      </c>
      <c r="Q220">
        <v>0</v>
      </c>
      <c r="R220">
        <v>0</v>
      </c>
      <c r="S220">
        <v>5310</v>
      </c>
      <c r="T220">
        <v>22043</v>
      </c>
      <c r="U220" t="s">
        <v>146</v>
      </c>
      <c r="V220" t="s">
        <v>147</v>
      </c>
      <c r="W220" t="s">
        <v>148</v>
      </c>
      <c r="X220" t="s">
        <v>149</v>
      </c>
      <c r="Y220">
        <v>0</v>
      </c>
    </row>
    <row r="221" spans="1:25" x14ac:dyDescent="0.25">
      <c r="A221" t="s">
        <v>165</v>
      </c>
      <c r="B221">
        <v>2204</v>
      </c>
      <c r="C221">
        <v>8</v>
      </c>
      <c r="D221" t="s">
        <v>144</v>
      </c>
      <c r="E221" t="s">
        <v>166</v>
      </c>
      <c r="F221">
        <v>3900</v>
      </c>
      <c r="G221">
        <v>0</v>
      </c>
      <c r="H221">
        <v>0</v>
      </c>
      <c r="I221">
        <v>1170</v>
      </c>
      <c r="J221">
        <v>0</v>
      </c>
      <c r="K221">
        <v>6</v>
      </c>
      <c r="L221">
        <v>6</v>
      </c>
      <c r="M221">
        <v>0</v>
      </c>
      <c r="N221">
        <v>360</v>
      </c>
      <c r="O221">
        <v>2070</v>
      </c>
      <c r="P221">
        <v>2540</v>
      </c>
      <c r="Q221">
        <v>0</v>
      </c>
      <c r="R221">
        <v>0</v>
      </c>
      <c r="S221">
        <v>8030</v>
      </c>
      <c r="T221">
        <v>22043</v>
      </c>
      <c r="U221" t="s">
        <v>146</v>
      </c>
      <c r="V221" t="s">
        <v>147</v>
      </c>
      <c r="W221" t="s">
        <v>148</v>
      </c>
      <c r="X221" t="s">
        <v>149</v>
      </c>
      <c r="Y221">
        <v>0</v>
      </c>
    </row>
    <row r="222" spans="1:25" x14ac:dyDescent="0.25">
      <c r="A222" t="s">
        <v>165</v>
      </c>
      <c r="B222">
        <v>2204</v>
      </c>
      <c r="C222">
        <v>9</v>
      </c>
      <c r="D222" t="s">
        <v>144</v>
      </c>
      <c r="E222" t="s">
        <v>166</v>
      </c>
      <c r="F222">
        <v>4350</v>
      </c>
      <c r="G222">
        <v>0</v>
      </c>
      <c r="H222">
        <v>0</v>
      </c>
      <c r="I222">
        <v>1305</v>
      </c>
      <c r="J222">
        <v>0</v>
      </c>
      <c r="K222">
        <v>6</v>
      </c>
      <c r="L222">
        <v>6</v>
      </c>
      <c r="M222">
        <v>0</v>
      </c>
      <c r="N222">
        <v>790</v>
      </c>
      <c r="O222">
        <v>2630</v>
      </c>
      <c r="P222">
        <v>3320</v>
      </c>
      <c r="Q222">
        <v>0</v>
      </c>
      <c r="R222">
        <v>0</v>
      </c>
      <c r="S222">
        <v>12070</v>
      </c>
      <c r="T222">
        <v>22043</v>
      </c>
      <c r="U222" t="s">
        <v>146</v>
      </c>
      <c r="V222" t="s">
        <v>147</v>
      </c>
      <c r="W222" t="s">
        <v>148</v>
      </c>
      <c r="X222" t="s">
        <v>149</v>
      </c>
      <c r="Y222">
        <v>0</v>
      </c>
    </row>
    <row r="223" spans="1:25" x14ac:dyDescent="0.25">
      <c r="A223" t="s">
        <v>165</v>
      </c>
      <c r="B223">
        <v>2204</v>
      </c>
      <c r="C223">
        <v>10</v>
      </c>
      <c r="D223" t="s">
        <v>144</v>
      </c>
      <c r="E223" t="s">
        <v>166</v>
      </c>
      <c r="F223">
        <v>4850</v>
      </c>
      <c r="G223">
        <v>0</v>
      </c>
      <c r="H223">
        <v>0</v>
      </c>
      <c r="I223">
        <v>1455</v>
      </c>
      <c r="J223">
        <v>0</v>
      </c>
      <c r="K223">
        <v>6</v>
      </c>
      <c r="L223">
        <v>6</v>
      </c>
      <c r="M223">
        <v>0</v>
      </c>
      <c r="N223">
        <v>1330</v>
      </c>
      <c r="O223">
        <v>3310</v>
      </c>
      <c r="P223">
        <v>4300</v>
      </c>
      <c r="Q223">
        <v>0</v>
      </c>
      <c r="R223">
        <v>0</v>
      </c>
      <c r="S223">
        <v>18110</v>
      </c>
      <c r="T223">
        <v>22043</v>
      </c>
      <c r="U223" t="s">
        <v>146</v>
      </c>
      <c r="V223" t="s">
        <v>147</v>
      </c>
      <c r="W223" t="s">
        <v>148</v>
      </c>
      <c r="X223" t="s">
        <v>149</v>
      </c>
      <c r="Y223">
        <v>0</v>
      </c>
    </row>
    <row r="224" spans="1:25" x14ac:dyDescent="0.25">
      <c r="A224" t="s">
        <v>165</v>
      </c>
      <c r="B224">
        <v>2204</v>
      </c>
      <c r="C224">
        <v>11</v>
      </c>
      <c r="D224" t="s">
        <v>144</v>
      </c>
      <c r="E224" t="s">
        <v>166</v>
      </c>
      <c r="F224">
        <v>5350</v>
      </c>
      <c r="G224">
        <v>0</v>
      </c>
      <c r="H224">
        <v>0</v>
      </c>
      <c r="I224">
        <v>1605</v>
      </c>
      <c r="J224">
        <v>0</v>
      </c>
      <c r="K224">
        <v>7</v>
      </c>
      <c r="L224">
        <v>7</v>
      </c>
      <c r="M224">
        <v>0</v>
      </c>
      <c r="N224">
        <v>1980</v>
      </c>
      <c r="O224">
        <v>4140</v>
      </c>
      <c r="P224">
        <v>5540</v>
      </c>
      <c r="Q224">
        <v>240</v>
      </c>
      <c r="R224">
        <v>0</v>
      </c>
      <c r="S224">
        <v>27120</v>
      </c>
      <c r="T224">
        <v>22043</v>
      </c>
      <c r="U224" t="s">
        <v>146</v>
      </c>
      <c r="V224" t="s">
        <v>147</v>
      </c>
      <c r="W224" t="s">
        <v>148</v>
      </c>
      <c r="X224" t="s">
        <v>149</v>
      </c>
      <c r="Y224">
        <v>0</v>
      </c>
    </row>
    <row r="225" spans="1:25" x14ac:dyDescent="0.25">
      <c r="A225" t="s">
        <v>165</v>
      </c>
      <c r="B225">
        <v>2204</v>
      </c>
      <c r="C225">
        <v>12</v>
      </c>
      <c r="D225" t="s">
        <v>144</v>
      </c>
      <c r="E225" t="s">
        <v>166</v>
      </c>
      <c r="F225">
        <v>5900</v>
      </c>
      <c r="G225">
        <v>0</v>
      </c>
      <c r="H225">
        <v>0</v>
      </c>
      <c r="I225">
        <v>1770</v>
      </c>
      <c r="J225">
        <v>0</v>
      </c>
      <c r="K225">
        <v>7</v>
      </c>
      <c r="L225">
        <v>7</v>
      </c>
      <c r="M225">
        <v>0</v>
      </c>
      <c r="N225">
        <v>2780</v>
      </c>
      <c r="O225">
        <v>5150</v>
      </c>
      <c r="P225">
        <v>7100</v>
      </c>
      <c r="Q225">
        <v>540</v>
      </c>
      <c r="R225">
        <v>0</v>
      </c>
      <c r="S225">
        <v>40550</v>
      </c>
      <c r="T225">
        <v>22043</v>
      </c>
      <c r="U225" t="s">
        <v>146</v>
      </c>
      <c r="V225" t="s">
        <v>147</v>
      </c>
      <c r="W225" t="s">
        <v>148</v>
      </c>
      <c r="X225" t="s">
        <v>149</v>
      </c>
      <c r="Y225">
        <v>0</v>
      </c>
    </row>
    <row r="226" spans="1:25" x14ac:dyDescent="0.25">
      <c r="A226" t="s">
        <v>165</v>
      </c>
      <c r="B226">
        <v>2204</v>
      </c>
      <c r="C226">
        <v>13</v>
      </c>
      <c r="D226" t="s">
        <v>144</v>
      </c>
      <c r="E226" t="s">
        <v>166</v>
      </c>
      <c r="F226">
        <v>6500</v>
      </c>
      <c r="G226">
        <v>0</v>
      </c>
      <c r="H226">
        <v>0</v>
      </c>
      <c r="I226">
        <v>1950</v>
      </c>
      <c r="J226">
        <v>0</v>
      </c>
      <c r="K226">
        <v>7</v>
      </c>
      <c r="L226">
        <v>7</v>
      </c>
      <c r="M226">
        <v>0</v>
      </c>
      <c r="N226">
        <v>3750</v>
      </c>
      <c r="O226">
        <v>6380</v>
      </c>
      <c r="P226">
        <v>9060</v>
      </c>
      <c r="Q226">
        <v>910</v>
      </c>
      <c r="R226">
        <v>0</v>
      </c>
      <c r="S226">
        <v>60590</v>
      </c>
      <c r="T226">
        <v>22043</v>
      </c>
      <c r="U226" t="s">
        <v>146</v>
      </c>
      <c r="V226" t="s">
        <v>147</v>
      </c>
      <c r="W226" t="s">
        <v>148</v>
      </c>
      <c r="X226" t="s">
        <v>149</v>
      </c>
      <c r="Y226">
        <v>0</v>
      </c>
    </row>
    <row r="227" spans="1:25" x14ac:dyDescent="0.25">
      <c r="A227" t="s">
        <v>165</v>
      </c>
      <c r="B227">
        <v>2204</v>
      </c>
      <c r="C227">
        <v>14</v>
      </c>
      <c r="D227" t="s">
        <v>144</v>
      </c>
      <c r="E227" t="s">
        <v>166</v>
      </c>
      <c r="F227">
        <v>7100</v>
      </c>
      <c r="G227">
        <v>0</v>
      </c>
      <c r="H227">
        <v>0</v>
      </c>
      <c r="I227">
        <v>2130</v>
      </c>
      <c r="J227">
        <v>0</v>
      </c>
      <c r="K227">
        <v>7</v>
      </c>
      <c r="L227">
        <v>7</v>
      </c>
      <c r="M227">
        <v>0</v>
      </c>
      <c r="N227">
        <v>4930</v>
      </c>
      <c r="O227">
        <v>7900</v>
      </c>
      <c r="P227">
        <v>11530</v>
      </c>
      <c r="Q227">
        <v>1350</v>
      </c>
      <c r="R227">
        <v>0</v>
      </c>
      <c r="S227">
        <v>90490</v>
      </c>
      <c r="T227">
        <v>22043</v>
      </c>
      <c r="U227" t="s">
        <v>146</v>
      </c>
      <c r="V227" t="s">
        <v>147</v>
      </c>
      <c r="W227" t="s">
        <v>148</v>
      </c>
      <c r="X227" t="s">
        <v>149</v>
      </c>
      <c r="Y227">
        <v>0</v>
      </c>
    </row>
    <row r="228" spans="1:25" x14ac:dyDescent="0.25">
      <c r="A228" t="s">
        <v>165</v>
      </c>
      <c r="B228">
        <v>2204</v>
      </c>
      <c r="C228">
        <v>15</v>
      </c>
      <c r="D228" t="s">
        <v>144</v>
      </c>
      <c r="E228" t="s">
        <v>166</v>
      </c>
      <c r="F228">
        <v>7800</v>
      </c>
      <c r="G228">
        <v>0</v>
      </c>
      <c r="H228">
        <v>0</v>
      </c>
      <c r="I228">
        <v>2340</v>
      </c>
      <c r="J228">
        <v>0</v>
      </c>
      <c r="K228">
        <v>8</v>
      </c>
      <c r="L228">
        <v>8</v>
      </c>
      <c r="M228">
        <v>0</v>
      </c>
      <c r="N228">
        <v>6380</v>
      </c>
      <c r="O228">
        <v>9740</v>
      </c>
      <c r="P228">
        <v>14640</v>
      </c>
      <c r="Q228">
        <v>1900</v>
      </c>
      <c r="R228">
        <v>0</v>
      </c>
      <c r="S228">
        <v>135100</v>
      </c>
      <c r="T228">
        <v>22043</v>
      </c>
      <c r="U228" t="s">
        <v>146</v>
      </c>
      <c r="V228" t="s">
        <v>147</v>
      </c>
      <c r="W228" t="s">
        <v>148</v>
      </c>
      <c r="X228" t="s">
        <v>149</v>
      </c>
      <c r="Y228">
        <v>0</v>
      </c>
    </row>
    <row r="230" spans="1:25" x14ac:dyDescent="0.25">
      <c r="A230" t="s">
        <v>203</v>
      </c>
      <c r="B230" t="s">
        <v>201</v>
      </c>
      <c r="C230">
        <v>15</v>
      </c>
      <c r="K230" t="s">
        <v>1</v>
      </c>
      <c r="L230" t="s">
        <v>2</v>
      </c>
      <c r="M230" t="s">
        <v>194</v>
      </c>
      <c r="N230" t="s">
        <v>204</v>
      </c>
      <c r="O230" t="s">
        <v>205</v>
      </c>
    </row>
    <row r="231" spans="1:25" x14ac:dyDescent="0.25">
      <c r="A231" t="s">
        <v>203</v>
      </c>
      <c r="B231" t="s">
        <v>202</v>
      </c>
      <c r="C231">
        <v>4</v>
      </c>
      <c r="H231" t="s">
        <v>132</v>
      </c>
      <c r="K231">
        <v>0.1</v>
      </c>
      <c r="L231">
        <v>-3</v>
      </c>
      <c r="M231">
        <v>5000</v>
      </c>
    </row>
    <row r="232" spans="1:25" x14ac:dyDescent="0.25">
      <c r="A232" t="s">
        <v>203</v>
      </c>
      <c r="B232" t="s">
        <v>128</v>
      </c>
      <c r="C232" t="s">
        <v>207</v>
      </c>
      <c r="H232" t="s">
        <v>133</v>
      </c>
      <c r="K232">
        <v>0.13</v>
      </c>
      <c r="L232">
        <v>660</v>
      </c>
      <c r="M232">
        <v>11000</v>
      </c>
    </row>
    <row r="233" spans="1:25" x14ac:dyDescent="0.25">
      <c r="A233" t="s">
        <v>203</v>
      </c>
      <c r="H233" t="s">
        <v>198</v>
      </c>
      <c r="K233">
        <v>0.14000000000000001</v>
      </c>
      <c r="L233">
        <v>800</v>
      </c>
      <c r="M233">
        <v>15000</v>
      </c>
    </row>
    <row r="234" spans="1:25" x14ac:dyDescent="0.25">
      <c r="A234" t="s">
        <v>203</v>
      </c>
      <c r="H234" t="s">
        <v>135</v>
      </c>
      <c r="K234">
        <v>0.2</v>
      </c>
      <c r="L234">
        <v>-8</v>
      </c>
      <c r="M234">
        <v>4000</v>
      </c>
    </row>
    <row r="235" spans="1:25" x14ac:dyDescent="0.25">
      <c r="A235" t="s">
        <v>203</v>
      </c>
      <c r="H235" t="s">
        <v>136</v>
      </c>
      <c r="K235">
        <v>0</v>
      </c>
      <c r="L235">
        <v>0</v>
      </c>
      <c r="M235">
        <v>0</v>
      </c>
    </row>
    <row r="236" spans="1:25" x14ac:dyDescent="0.25">
      <c r="A236" t="s">
        <v>203</v>
      </c>
      <c r="H236" t="s">
        <v>69</v>
      </c>
      <c r="K236">
        <v>0.15</v>
      </c>
      <c r="L236">
        <v>24300</v>
      </c>
      <c r="M236">
        <v>135000</v>
      </c>
      <c r="N236" s="13" t="s">
        <v>75</v>
      </c>
      <c r="O236" s="13" t="s">
        <v>232</v>
      </c>
    </row>
    <row r="239" spans="1:25" x14ac:dyDescent="0.25">
      <c r="A239" t="s">
        <v>167</v>
      </c>
      <c r="B239">
        <v>2202</v>
      </c>
      <c r="C239">
        <v>0</v>
      </c>
      <c r="D239" t="s">
        <v>144</v>
      </c>
      <c r="E239" t="s">
        <v>145</v>
      </c>
      <c r="F239">
        <v>500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 t="s">
        <v>146</v>
      </c>
      <c r="V239" t="s">
        <v>147</v>
      </c>
      <c r="W239" t="s">
        <v>148</v>
      </c>
      <c r="X239" t="s">
        <v>149</v>
      </c>
      <c r="Y239">
        <v>0</v>
      </c>
    </row>
    <row r="240" spans="1:25" x14ac:dyDescent="0.25">
      <c r="A240" t="s">
        <v>167</v>
      </c>
      <c r="B240">
        <v>2202</v>
      </c>
      <c r="C240">
        <v>1</v>
      </c>
      <c r="D240" t="s">
        <v>144</v>
      </c>
      <c r="E240" t="s">
        <v>168</v>
      </c>
      <c r="F240">
        <v>1900</v>
      </c>
      <c r="G240">
        <v>0</v>
      </c>
      <c r="H240">
        <v>0</v>
      </c>
      <c r="I240">
        <v>570</v>
      </c>
      <c r="J240">
        <v>0</v>
      </c>
      <c r="K240">
        <v>5</v>
      </c>
      <c r="L240">
        <v>5</v>
      </c>
      <c r="M240">
        <v>0</v>
      </c>
      <c r="N240">
        <v>0</v>
      </c>
      <c r="O240">
        <v>660</v>
      </c>
      <c r="P240">
        <v>800</v>
      </c>
      <c r="Q240">
        <v>0</v>
      </c>
      <c r="R240">
        <v>0</v>
      </c>
      <c r="S240">
        <v>24300</v>
      </c>
      <c r="T240">
        <v>22021</v>
      </c>
      <c r="U240" t="s">
        <v>146</v>
      </c>
      <c r="V240" t="s">
        <v>147</v>
      </c>
      <c r="W240" t="s">
        <v>148</v>
      </c>
      <c r="X240" t="s">
        <v>149</v>
      </c>
      <c r="Y240">
        <v>0</v>
      </c>
    </row>
    <row r="241" spans="1:25" x14ac:dyDescent="0.25">
      <c r="A241" t="s">
        <v>167</v>
      </c>
      <c r="B241">
        <v>2202</v>
      </c>
      <c r="C241">
        <v>2</v>
      </c>
      <c r="D241" t="s">
        <v>144</v>
      </c>
      <c r="E241" t="s">
        <v>168</v>
      </c>
      <c r="F241">
        <v>2150</v>
      </c>
      <c r="G241">
        <v>0</v>
      </c>
      <c r="H241">
        <v>0</v>
      </c>
      <c r="I241">
        <v>645</v>
      </c>
      <c r="J241">
        <v>0</v>
      </c>
      <c r="K241">
        <v>5</v>
      </c>
      <c r="L241">
        <v>5</v>
      </c>
      <c r="M241">
        <v>0</v>
      </c>
      <c r="N241">
        <v>0</v>
      </c>
      <c r="O241">
        <v>920</v>
      </c>
      <c r="P241">
        <v>1130</v>
      </c>
      <c r="Q241">
        <v>0</v>
      </c>
      <c r="R241">
        <v>0</v>
      </c>
      <c r="S241">
        <v>27460</v>
      </c>
      <c r="T241">
        <v>22021</v>
      </c>
      <c r="U241" t="s">
        <v>146</v>
      </c>
      <c r="V241" t="s">
        <v>147</v>
      </c>
      <c r="W241" t="s">
        <v>148</v>
      </c>
      <c r="X241" t="s">
        <v>149</v>
      </c>
      <c r="Y241">
        <v>0</v>
      </c>
    </row>
    <row r="242" spans="1:25" x14ac:dyDescent="0.25">
      <c r="A242" t="s">
        <v>167</v>
      </c>
      <c r="B242">
        <v>2202</v>
      </c>
      <c r="C242">
        <v>3</v>
      </c>
      <c r="D242" t="s">
        <v>144</v>
      </c>
      <c r="E242" t="s">
        <v>168</v>
      </c>
      <c r="F242">
        <v>2450</v>
      </c>
      <c r="G242">
        <v>0</v>
      </c>
      <c r="H242">
        <v>0</v>
      </c>
      <c r="I242">
        <v>735</v>
      </c>
      <c r="J242">
        <v>0</v>
      </c>
      <c r="K242">
        <v>5</v>
      </c>
      <c r="L242">
        <v>5</v>
      </c>
      <c r="M242">
        <v>0</v>
      </c>
      <c r="N242">
        <v>0</v>
      </c>
      <c r="O242">
        <v>1220</v>
      </c>
      <c r="P242">
        <v>1520</v>
      </c>
      <c r="Q242">
        <v>0</v>
      </c>
      <c r="R242">
        <v>0</v>
      </c>
      <c r="S242">
        <v>31120</v>
      </c>
      <c r="T242">
        <v>22022</v>
      </c>
      <c r="U242" t="s">
        <v>146</v>
      </c>
      <c r="V242" t="s">
        <v>147</v>
      </c>
      <c r="W242" t="s">
        <v>148</v>
      </c>
      <c r="X242" t="s">
        <v>149</v>
      </c>
      <c r="Y242">
        <v>0</v>
      </c>
    </row>
    <row r="243" spans="1:25" x14ac:dyDescent="0.25">
      <c r="A243" t="s">
        <v>167</v>
      </c>
      <c r="B243">
        <v>2202</v>
      </c>
      <c r="C243">
        <v>4</v>
      </c>
      <c r="D243" t="s">
        <v>144</v>
      </c>
      <c r="E243" t="s">
        <v>168</v>
      </c>
      <c r="F243">
        <v>2800</v>
      </c>
      <c r="G243">
        <v>0</v>
      </c>
      <c r="H243">
        <v>0</v>
      </c>
      <c r="I243">
        <v>840</v>
      </c>
      <c r="J243">
        <v>0</v>
      </c>
      <c r="K243">
        <v>5</v>
      </c>
      <c r="L243">
        <v>5</v>
      </c>
      <c r="M243">
        <v>0</v>
      </c>
      <c r="N243">
        <v>160</v>
      </c>
      <c r="O243">
        <v>1560</v>
      </c>
      <c r="P243">
        <v>1960</v>
      </c>
      <c r="Q243">
        <v>0</v>
      </c>
      <c r="R243">
        <v>0</v>
      </c>
      <c r="S243">
        <v>35390</v>
      </c>
      <c r="T243">
        <v>22023</v>
      </c>
      <c r="U243" t="s">
        <v>146</v>
      </c>
      <c r="V243" t="s">
        <v>147</v>
      </c>
      <c r="W243" t="s">
        <v>148</v>
      </c>
      <c r="X243" t="s">
        <v>149</v>
      </c>
      <c r="Y243">
        <v>0</v>
      </c>
    </row>
    <row r="244" spans="1:25" x14ac:dyDescent="0.25">
      <c r="A244" t="s">
        <v>167</v>
      </c>
      <c r="B244">
        <v>2202</v>
      </c>
      <c r="C244">
        <v>5</v>
      </c>
      <c r="D244" t="s">
        <v>144</v>
      </c>
      <c r="E244" t="s">
        <v>168</v>
      </c>
      <c r="F244">
        <v>3100</v>
      </c>
      <c r="G244">
        <v>0</v>
      </c>
      <c r="H244">
        <v>0</v>
      </c>
      <c r="I244">
        <v>930</v>
      </c>
      <c r="J244">
        <v>0</v>
      </c>
      <c r="K244">
        <v>5</v>
      </c>
      <c r="L244">
        <v>5</v>
      </c>
      <c r="M244">
        <v>0</v>
      </c>
      <c r="N244">
        <v>330</v>
      </c>
      <c r="O244">
        <v>1950</v>
      </c>
      <c r="P244">
        <v>2470</v>
      </c>
      <c r="Q244">
        <v>0</v>
      </c>
      <c r="R244">
        <v>0</v>
      </c>
      <c r="S244">
        <v>40340</v>
      </c>
      <c r="T244">
        <v>22024</v>
      </c>
      <c r="U244" t="s">
        <v>146</v>
      </c>
      <c r="V244" t="s">
        <v>147</v>
      </c>
      <c r="W244" t="s">
        <v>148</v>
      </c>
      <c r="X244" t="s">
        <v>149</v>
      </c>
      <c r="Y244">
        <v>0</v>
      </c>
    </row>
    <row r="245" spans="1:25" x14ac:dyDescent="0.25">
      <c r="A245" t="s">
        <v>167</v>
      </c>
      <c r="B245">
        <v>2202</v>
      </c>
      <c r="C245">
        <v>6</v>
      </c>
      <c r="D245" t="s">
        <v>144</v>
      </c>
      <c r="E245" t="s">
        <v>168</v>
      </c>
      <c r="F245">
        <v>3450</v>
      </c>
      <c r="G245">
        <v>0</v>
      </c>
      <c r="H245">
        <v>0</v>
      </c>
      <c r="I245">
        <v>1035</v>
      </c>
      <c r="J245">
        <v>0</v>
      </c>
      <c r="K245">
        <v>6</v>
      </c>
      <c r="L245">
        <v>6</v>
      </c>
      <c r="M245">
        <v>0</v>
      </c>
      <c r="N245">
        <v>530</v>
      </c>
      <c r="O245">
        <v>2390</v>
      </c>
      <c r="P245">
        <v>3060</v>
      </c>
      <c r="Q245">
        <v>0</v>
      </c>
      <c r="R245">
        <v>0</v>
      </c>
      <c r="S245">
        <v>46090</v>
      </c>
      <c r="T245">
        <v>22024</v>
      </c>
      <c r="U245" t="s">
        <v>146</v>
      </c>
      <c r="V245" t="s">
        <v>147</v>
      </c>
      <c r="W245" t="s">
        <v>148</v>
      </c>
      <c r="X245" t="s">
        <v>149</v>
      </c>
      <c r="Y245">
        <v>0</v>
      </c>
    </row>
    <row r="246" spans="1:25" x14ac:dyDescent="0.25">
      <c r="A246" t="s">
        <v>167</v>
      </c>
      <c r="B246">
        <v>2202</v>
      </c>
      <c r="C246">
        <v>7</v>
      </c>
      <c r="D246" t="s">
        <v>144</v>
      </c>
      <c r="E246" t="s">
        <v>168</v>
      </c>
      <c r="F246">
        <v>3850</v>
      </c>
      <c r="G246">
        <v>0</v>
      </c>
      <c r="H246">
        <v>0</v>
      </c>
      <c r="I246">
        <v>1155</v>
      </c>
      <c r="J246">
        <v>0</v>
      </c>
      <c r="K246">
        <v>6</v>
      </c>
      <c r="L246">
        <v>6</v>
      </c>
      <c r="M246">
        <v>0</v>
      </c>
      <c r="N246">
        <v>740</v>
      </c>
      <c r="O246">
        <v>2890</v>
      </c>
      <c r="P246">
        <v>3730</v>
      </c>
      <c r="Q246">
        <v>0</v>
      </c>
      <c r="R246">
        <v>0</v>
      </c>
      <c r="S246">
        <v>52770</v>
      </c>
      <c r="T246">
        <v>22024</v>
      </c>
      <c r="U246" t="s">
        <v>146</v>
      </c>
      <c r="V246" t="s">
        <v>147</v>
      </c>
      <c r="W246" t="s">
        <v>148</v>
      </c>
      <c r="X246" t="s">
        <v>149</v>
      </c>
      <c r="Y246">
        <v>0</v>
      </c>
    </row>
    <row r="247" spans="1:25" x14ac:dyDescent="0.25">
      <c r="A247" t="s">
        <v>167</v>
      </c>
      <c r="B247">
        <v>2202</v>
      </c>
      <c r="C247">
        <v>8</v>
      </c>
      <c r="D247" t="s">
        <v>144</v>
      </c>
      <c r="E247" t="s">
        <v>168</v>
      </c>
      <c r="F247">
        <v>4250</v>
      </c>
      <c r="G247">
        <v>0</v>
      </c>
      <c r="H247">
        <v>0</v>
      </c>
      <c r="I247">
        <v>1275</v>
      </c>
      <c r="J247">
        <v>0</v>
      </c>
      <c r="K247">
        <v>6</v>
      </c>
      <c r="L247">
        <v>6</v>
      </c>
      <c r="M247">
        <v>0</v>
      </c>
      <c r="N247">
        <v>980</v>
      </c>
      <c r="O247">
        <v>3460</v>
      </c>
      <c r="P247">
        <v>4500</v>
      </c>
      <c r="Q247">
        <v>0</v>
      </c>
      <c r="R247">
        <v>0</v>
      </c>
      <c r="S247">
        <v>60540</v>
      </c>
      <c r="T247">
        <v>22024</v>
      </c>
      <c r="U247" t="s">
        <v>146</v>
      </c>
      <c r="V247" t="s">
        <v>147</v>
      </c>
      <c r="W247" t="s">
        <v>148</v>
      </c>
      <c r="X247" t="s">
        <v>149</v>
      </c>
      <c r="Y247">
        <v>0</v>
      </c>
    </row>
    <row r="248" spans="1:25" x14ac:dyDescent="0.25">
      <c r="A248" t="s">
        <v>167</v>
      </c>
      <c r="B248">
        <v>2202</v>
      </c>
      <c r="C248">
        <v>9</v>
      </c>
      <c r="D248" t="s">
        <v>144</v>
      </c>
      <c r="E248" t="s">
        <v>168</v>
      </c>
      <c r="F248">
        <v>4700</v>
      </c>
      <c r="G248">
        <v>0</v>
      </c>
      <c r="H248">
        <v>0</v>
      </c>
      <c r="I248">
        <v>1410</v>
      </c>
      <c r="J248">
        <v>0</v>
      </c>
      <c r="K248">
        <v>6</v>
      </c>
      <c r="L248">
        <v>6</v>
      </c>
      <c r="M248">
        <v>0</v>
      </c>
      <c r="N248">
        <v>1240</v>
      </c>
      <c r="O248">
        <v>4120</v>
      </c>
      <c r="P248">
        <v>5400</v>
      </c>
      <c r="Q248">
        <v>220</v>
      </c>
      <c r="R248">
        <v>0</v>
      </c>
      <c r="S248">
        <v>69560</v>
      </c>
      <c r="T248">
        <v>22024</v>
      </c>
      <c r="U248" t="s">
        <v>146</v>
      </c>
      <c r="V248" t="s">
        <v>147</v>
      </c>
      <c r="W248" t="s">
        <v>148</v>
      </c>
      <c r="X248" t="s">
        <v>149</v>
      </c>
      <c r="Y248">
        <v>0</v>
      </c>
    </row>
    <row r="249" spans="1:25" x14ac:dyDescent="0.25">
      <c r="A249" t="s">
        <v>167</v>
      </c>
      <c r="B249">
        <v>2202</v>
      </c>
      <c r="C249">
        <v>10</v>
      </c>
      <c r="D249" t="s">
        <v>144</v>
      </c>
      <c r="E249" t="s">
        <v>168</v>
      </c>
      <c r="F249">
        <v>5200</v>
      </c>
      <c r="G249">
        <v>0</v>
      </c>
      <c r="H249">
        <v>0</v>
      </c>
      <c r="I249">
        <v>1560</v>
      </c>
      <c r="J249">
        <v>0</v>
      </c>
      <c r="K249">
        <v>6</v>
      </c>
      <c r="L249">
        <v>6</v>
      </c>
      <c r="M249">
        <v>0</v>
      </c>
      <c r="N249">
        <v>1530</v>
      </c>
      <c r="O249">
        <v>4860</v>
      </c>
      <c r="P249">
        <v>6420</v>
      </c>
      <c r="Q249">
        <v>490</v>
      </c>
      <c r="R249">
        <v>0</v>
      </c>
      <c r="S249">
        <v>80040</v>
      </c>
      <c r="T249">
        <v>22024</v>
      </c>
      <c r="U249" t="s">
        <v>146</v>
      </c>
      <c r="V249" t="s">
        <v>147</v>
      </c>
      <c r="W249" t="s">
        <v>148</v>
      </c>
      <c r="X249" t="s">
        <v>149</v>
      </c>
      <c r="Y249">
        <v>0</v>
      </c>
    </row>
    <row r="250" spans="1:25" x14ac:dyDescent="0.25">
      <c r="A250" t="s">
        <v>167</v>
      </c>
      <c r="B250">
        <v>2202</v>
      </c>
      <c r="C250">
        <v>11</v>
      </c>
      <c r="D250" t="s">
        <v>144</v>
      </c>
      <c r="E250" t="s">
        <v>168</v>
      </c>
      <c r="F250">
        <v>5700</v>
      </c>
      <c r="G250">
        <v>0</v>
      </c>
      <c r="H250">
        <v>0</v>
      </c>
      <c r="I250">
        <v>1710</v>
      </c>
      <c r="J250">
        <v>0</v>
      </c>
      <c r="K250">
        <v>7</v>
      </c>
      <c r="L250">
        <v>7</v>
      </c>
      <c r="M250">
        <v>0</v>
      </c>
      <c r="N250">
        <v>1850</v>
      </c>
      <c r="O250">
        <v>5700</v>
      </c>
      <c r="P250">
        <v>7600</v>
      </c>
      <c r="Q250">
        <v>810</v>
      </c>
      <c r="R250">
        <v>0</v>
      </c>
      <c r="S250">
        <v>92220</v>
      </c>
      <c r="T250">
        <v>22024</v>
      </c>
      <c r="U250" t="s">
        <v>146</v>
      </c>
      <c r="V250" t="s">
        <v>147</v>
      </c>
      <c r="W250" t="s">
        <v>148</v>
      </c>
      <c r="X250" t="s">
        <v>149</v>
      </c>
      <c r="Y250">
        <v>0</v>
      </c>
    </row>
    <row r="251" spans="1:25" x14ac:dyDescent="0.25">
      <c r="A251" t="s">
        <v>167</v>
      </c>
      <c r="B251">
        <v>2202</v>
      </c>
      <c r="C251">
        <v>12</v>
      </c>
      <c r="D251" t="s">
        <v>144</v>
      </c>
      <c r="E251" t="s">
        <v>168</v>
      </c>
      <c r="F251">
        <v>6250</v>
      </c>
      <c r="G251">
        <v>0</v>
      </c>
      <c r="H251">
        <v>0</v>
      </c>
      <c r="I251">
        <v>1875</v>
      </c>
      <c r="J251">
        <v>0</v>
      </c>
      <c r="K251">
        <v>7</v>
      </c>
      <c r="L251">
        <v>7</v>
      </c>
      <c r="M251">
        <v>0</v>
      </c>
      <c r="N251">
        <v>2200</v>
      </c>
      <c r="O251">
        <v>6670</v>
      </c>
      <c r="P251">
        <v>8960</v>
      </c>
      <c r="Q251">
        <v>1210</v>
      </c>
      <c r="R251">
        <v>0</v>
      </c>
      <c r="S251">
        <v>106370</v>
      </c>
      <c r="T251">
        <v>22024</v>
      </c>
      <c r="U251" t="s">
        <v>146</v>
      </c>
      <c r="V251" t="s">
        <v>147</v>
      </c>
      <c r="W251" t="s">
        <v>148</v>
      </c>
      <c r="X251" t="s">
        <v>149</v>
      </c>
      <c r="Y251">
        <v>0</v>
      </c>
    </row>
    <row r="252" spans="1:25" x14ac:dyDescent="0.25">
      <c r="A252" t="s">
        <v>167</v>
      </c>
      <c r="B252">
        <v>2202</v>
      </c>
      <c r="C252">
        <v>13</v>
      </c>
      <c r="D252" t="s">
        <v>144</v>
      </c>
      <c r="E252" t="s">
        <v>168</v>
      </c>
      <c r="F252">
        <v>6850</v>
      </c>
      <c r="G252">
        <v>0</v>
      </c>
      <c r="H252">
        <v>0</v>
      </c>
      <c r="I252">
        <v>2055</v>
      </c>
      <c r="J252">
        <v>0</v>
      </c>
      <c r="K252">
        <v>7</v>
      </c>
      <c r="L252">
        <v>7</v>
      </c>
      <c r="M252">
        <v>0</v>
      </c>
      <c r="N252">
        <v>2590</v>
      </c>
      <c r="O252">
        <v>7760</v>
      </c>
      <c r="P252">
        <v>10520</v>
      </c>
      <c r="Q252">
        <v>1690</v>
      </c>
      <c r="R252">
        <v>0</v>
      </c>
      <c r="S252">
        <v>122810</v>
      </c>
      <c r="T252">
        <v>22024</v>
      </c>
      <c r="U252" t="s">
        <v>146</v>
      </c>
      <c r="V252" t="s">
        <v>147</v>
      </c>
      <c r="W252" t="s">
        <v>148</v>
      </c>
      <c r="X252" t="s">
        <v>149</v>
      </c>
      <c r="Y252">
        <v>0</v>
      </c>
    </row>
    <row r="253" spans="1:25" x14ac:dyDescent="0.25">
      <c r="A253" t="s">
        <v>167</v>
      </c>
      <c r="B253">
        <v>2202</v>
      </c>
      <c r="C253">
        <v>14</v>
      </c>
      <c r="D253" t="s">
        <v>144</v>
      </c>
      <c r="E253" t="s">
        <v>168</v>
      </c>
      <c r="F253">
        <v>7450</v>
      </c>
      <c r="G253">
        <v>0</v>
      </c>
      <c r="H253">
        <v>0</v>
      </c>
      <c r="I253">
        <v>2235</v>
      </c>
      <c r="J253">
        <v>0</v>
      </c>
      <c r="K253">
        <v>7</v>
      </c>
      <c r="L253">
        <v>7</v>
      </c>
      <c r="M253">
        <v>0</v>
      </c>
      <c r="N253">
        <v>3020</v>
      </c>
      <c r="O253">
        <v>9010</v>
      </c>
      <c r="P253">
        <v>12310</v>
      </c>
      <c r="Q253">
        <v>2290</v>
      </c>
      <c r="R253">
        <v>0</v>
      </c>
      <c r="S253">
        <v>141900</v>
      </c>
      <c r="T253">
        <v>22024</v>
      </c>
      <c r="U253" t="s">
        <v>146</v>
      </c>
      <c r="V253" t="s">
        <v>147</v>
      </c>
      <c r="W253" t="s">
        <v>148</v>
      </c>
      <c r="X253" t="s">
        <v>149</v>
      </c>
      <c r="Y253">
        <v>0</v>
      </c>
    </row>
    <row r="254" spans="1:25" x14ac:dyDescent="0.25">
      <c r="A254" t="s">
        <v>167</v>
      </c>
      <c r="B254">
        <v>2202</v>
      </c>
      <c r="C254">
        <v>15</v>
      </c>
      <c r="D254" t="s">
        <v>144</v>
      </c>
      <c r="E254" t="s">
        <v>168</v>
      </c>
      <c r="F254">
        <v>8150</v>
      </c>
      <c r="G254">
        <v>0</v>
      </c>
      <c r="H254">
        <v>0</v>
      </c>
      <c r="I254">
        <v>2445</v>
      </c>
      <c r="J254">
        <v>0</v>
      </c>
      <c r="K254">
        <v>8</v>
      </c>
      <c r="L254">
        <v>8</v>
      </c>
      <c r="M254">
        <v>0</v>
      </c>
      <c r="N254">
        <v>3490</v>
      </c>
      <c r="O254">
        <v>10430</v>
      </c>
      <c r="P254">
        <v>14370</v>
      </c>
      <c r="Q254">
        <v>3010</v>
      </c>
      <c r="R254">
        <v>0</v>
      </c>
      <c r="S254">
        <v>164090</v>
      </c>
      <c r="T254">
        <v>22024</v>
      </c>
      <c r="U254" t="s">
        <v>146</v>
      </c>
      <c r="V254" t="s">
        <v>147</v>
      </c>
      <c r="W254" t="s">
        <v>148</v>
      </c>
      <c r="X254" t="s">
        <v>149</v>
      </c>
      <c r="Y254">
        <v>0</v>
      </c>
    </row>
    <row r="256" spans="1:25" x14ac:dyDescent="0.25">
      <c r="A256" t="s">
        <v>203</v>
      </c>
      <c r="B256" t="s">
        <v>201</v>
      </c>
      <c r="C256">
        <v>15</v>
      </c>
      <c r="K256" t="s">
        <v>1</v>
      </c>
      <c r="L256" t="s">
        <v>2</v>
      </c>
      <c r="M256" t="s">
        <v>194</v>
      </c>
      <c r="N256" t="s">
        <v>204</v>
      </c>
      <c r="O256" t="s">
        <v>205</v>
      </c>
    </row>
    <row r="257" spans="1:25" x14ac:dyDescent="0.25">
      <c r="A257" t="s">
        <v>203</v>
      </c>
      <c r="B257" t="s">
        <v>202</v>
      </c>
      <c r="C257">
        <v>5</v>
      </c>
      <c r="H257" t="s">
        <v>132</v>
      </c>
      <c r="K257">
        <v>0.1</v>
      </c>
      <c r="L257">
        <v>700</v>
      </c>
      <c r="M257">
        <v>3000</v>
      </c>
    </row>
    <row r="258" spans="1:25" x14ac:dyDescent="0.25">
      <c r="A258" t="s">
        <v>203</v>
      </c>
      <c r="B258" t="s">
        <v>128</v>
      </c>
      <c r="C258" t="s">
        <v>207</v>
      </c>
      <c r="H258" t="s">
        <v>133</v>
      </c>
      <c r="K258">
        <v>0.11</v>
      </c>
      <c r="L258">
        <v>1500</v>
      </c>
      <c r="M258">
        <v>13000</v>
      </c>
    </row>
    <row r="259" spans="1:25" x14ac:dyDescent="0.25">
      <c r="A259" t="s">
        <v>203</v>
      </c>
      <c r="H259" t="s">
        <v>198</v>
      </c>
      <c r="K259">
        <v>0.11</v>
      </c>
      <c r="L259">
        <v>1800</v>
      </c>
      <c r="M259">
        <v>15000</v>
      </c>
    </row>
    <row r="260" spans="1:25" x14ac:dyDescent="0.25">
      <c r="A260" t="s">
        <v>203</v>
      </c>
      <c r="H260" t="s">
        <v>135</v>
      </c>
      <c r="K260">
        <v>0.1</v>
      </c>
      <c r="L260">
        <v>200</v>
      </c>
      <c r="M260">
        <v>4000</v>
      </c>
    </row>
    <row r="261" spans="1:25" x14ac:dyDescent="0.25">
      <c r="A261" t="s">
        <v>203</v>
      </c>
      <c r="H261" t="s">
        <v>136</v>
      </c>
      <c r="K261">
        <v>0</v>
      </c>
      <c r="L261">
        <v>0</v>
      </c>
      <c r="M261">
        <v>0</v>
      </c>
    </row>
    <row r="262" spans="1:25" x14ac:dyDescent="0.25">
      <c r="A262" t="s">
        <v>203</v>
      </c>
      <c r="H262" t="s">
        <v>69</v>
      </c>
      <c r="K262">
        <v>0.04</v>
      </c>
      <c r="L262">
        <v>72900</v>
      </c>
      <c r="M262">
        <v>200000</v>
      </c>
      <c r="N262" s="13" t="s">
        <v>77</v>
      </c>
      <c r="O262" s="13" t="s">
        <v>233</v>
      </c>
    </row>
    <row r="265" spans="1:25" x14ac:dyDescent="0.25">
      <c r="A265" t="s">
        <v>169</v>
      </c>
      <c r="B265">
        <v>2203</v>
      </c>
      <c r="C265">
        <v>0</v>
      </c>
      <c r="D265" t="s">
        <v>144</v>
      </c>
      <c r="E265" t="s">
        <v>145</v>
      </c>
      <c r="F265">
        <v>500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 t="s">
        <v>146</v>
      </c>
      <c r="V265" t="s">
        <v>147</v>
      </c>
      <c r="W265" t="s">
        <v>148</v>
      </c>
      <c r="X265" t="s">
        <v>149</v>
      </c>
      <c r="Y265">
        <v>0</v>
      </c>
    </row>
    <row r="266" spans="1:25" x14ac:dyDescent="0.25">
      <c r="A266" t="s">
        <v>169</v>
      </c>
      <c r="B266">
        <v>2203</v>
      </c>
      <c r="C266">
        <v>1</v>
      </c>
      <c r="D266" t="s">
        <v>144</v>
      </c>
      <c r="E266" t="s">
        <v>170</v>
      </c>
      <c r="F266">
        <v>2200</v>
      </c>
      <c r="G266">
        <v>0</v>
      </c>
      <c r="H266">
        <v>0</v>
      </c>
      <c r="I266">
        <v>660</v>
      </c>
      <c r="J266">
        <v>0</v>
      </c>
      <c r="K266">
        <v>5</v>
      </c>
      <c r="L266">
        <v>5</v>
      </c>
      <c r="M266">
        <v>0</v>
      </c>
      <c r="N266">
        <v>700</v>
      </c>
      <c r="O266">
        <v>1500</v>
      </c>
      <c r="P266">
        <v>1800</v>
      </c>
      <c r="Q266">
        <v>200</v>
      </c>
      <c r="R266">
        <v>0</v>
      </c>
      <c r="S266">
        <v>72900</v>
      </c>
      <c r="T266">
        <v>22031</v>
      </c>
      <c r="U266" t="s">
        <v>146</v>
      </c>
      <c r="V266" t="s">
        <v>147</v>
      </c>
      <c r="W266" t="s">
        <v>148</v>
      </c>
      <c r="X266" t="s">
        <v>149</v>
      </c>
      <c r="Y266">
        <v>0</v>
      </c>
    </row>
    <row r="267" spans="1:25" x14ac:dyDescent="0.25">
      <c r="A267" t="s">
        <v>169</v>
      </c>
      <c r="B267">
        <v>2203</v>
      </c>
      <c r="C267">
        <v>2</v>
      </c>
      <c r="D267" t="s">
        <v>144</v>
      </c>
      <c r="E267" t="s">
        <v>170</v>
      </c>
      <c r="F267">
        <v>2450</v>
      </c>
      <c r="G267">
        <v>0</v>
      </c>
      <c r="H267">
        <v>0</v>
      </c>
      <c r="I267">
        <v>735</v>
      </c>
      <c r="J267">
        <v>0</v>
      </c>
      <c r="K267">
        <v>5</v>
      </c>
      <c r="L267">
        <v>5</v>
      </c>
      <c r="M267">
        <v>0</v>
      </c>
      <c r="N267">
        <v>800</v>
      </c>
      <c r="O267">
        <v>1860</v>
      </c>
      <c r="P267">
        <v>2220</v>
      </c>
      <c r="Q267">
        <v>310</v>
      </c>
      <c r="R267">
        <v>0</v>
      </c>
      <c r="S267">
        <v>79260</v>
      </c>
      <c r="T267">
        <v>22031</v>
      </c>
      <c r="U267" t="s">
        <v>146</v>
      </c>
      <c r="V267" t="s">
        <v>147</v>
      </c>
      <c r="W267" t="s">
        <v>148</v>
      </c>
      <c r="X267" t="s">
        <v>149</v>
      </c>
      <c r="Y267">
        <v>0</v>
      </c>
    </row>
    <row r="268" spans="1:25" x14ac:dyDescent="0.25">
      <c r="A268" t="s">
        <v>169</v>
      </c>
      <c r="B268">
        <v>2203</v>
      </c>
      <c r="C268">
        <v>3</v>
      </c>
      <c r="D268" t="s">
        <v>144</v>
      </c>
      <c r="E268" t="s">
        <v>170</v>
      </c>
      <c r="F268">
        <v>2750</v>
      </c>
      <c r="G268">
        <v>0</v>
      </c>
      <c r="H268">
        <v>0</v>
      </c>
      <c r="I268">
        <v>825</v>
      </c>
      <c r="J268">
        <v>0</v>
      </c>
      <c r="K268">
        <v>5</v>
      </c>
      <c r="L268">
        <v>5</v>
      </c>
      <c r="M268">
        <v>0</v>
      </c>
      <c r="N268">
        <v>900</v>
      </c>
      <c r="O268">
        <v>2260</v>
      </c>
      <c r="P268">
        <v>2690</v>
      </c>
      <c r="Q268">
        <v>430</v>
      </c>
      <c r="R268">
        <v>0</v>
      </c>
      <c r="S268">
        <v>85880</v>
      </c>
      <c r="T268">
        <v>22032</v>
      </c>
      <c r="U268" t="s">
        <v>146</v>
      </c>
      <c r="V268" t="s">
        <v>147</v>
      </c>
      <c r="W268" t="s">
        <v>148</v>
      </c>
      <c r="X268" t="s">
        <v>149</v>
      </c>
      <c r="Y268">
        <v>0</v>
      </c>
    </row>
    <row r="269" spans="1:25" x14ac:dyDescent="0.25">
      <c r="A269" t="s">
        <v>169</v>
      </c>
      <c r="B269">
        <v>2203</v>
      </c>
      <c r="C269">
        <v>4</v>
      </c>
      <c r="D269" t="s">
        <v>144</v>
      </c>
      <c r="E269" t="s">
        <v>170</v>
      </c>
      <c r="F269">
        <v>3100</v>
      </c>
      <c r="G269">
        <v>0</v>
      </c>
      <c r="H269">
        <v>0</v>
      </c>
      <c r="I269">
        <v>930</v>
      </c>
      <c r="J269">
        <v>0</v>
      </c>
      <c r="K269">
        <v>5</v>
      </c>
      <c r="L269">
        <v>5</v>
      </c>
      <c r="M269">
        <v>0</v>
      </c>
      <c r="N269">
        <v>1020</v>
      </c>
      <c r="O269">
        <v>2720</v>
      </c>
      <c r="P269">
        <v>3210</v>
      </c>
      <c r="Q269">
        <v>560</v>
      </c>
      <c r="R269">
        <v>0</v>
      </c>
      <c r="S269">
        <v>92770</v>
      </c>
      <c r="T269">
        <v>22032</v>
      </c>
      <c r="U269" t="s">
        <v>146</v>
      </c>
      <c r="V269" t="s">
        <v>147</v>
      </c>
      <c r="W269" t="s">
        <v>148</v>
      </c>
      <c r="X269" t="s">
        <v>149</v>
      </c>
      <c r="Y269">
        <v>0</v>
      </c>
    </row>
    <row r="270" spans="1:25" x14ac:dyDescent="0.25">
      <c r="A270" t="s">
        <v>169</v>
      </c>
      <c r="B270">
        <v>2203</v>
      </c>
      <c r="C270">
        <v>5</v>
      </c>
      <c r="D270" t="s">
        <v>144</v>
      </c>
      <c r="E270" t="s">
        <v>170</v>
      </c>
      <c r="F270">
        <v>3400</v>
      </c>
      <c r="G270">
        <v>0</v>
      </c>
      <c r="H270">
        <v>0</v>
      </c>
      <c r="I270">
        <v>1020</v>
      </c>
      <c r="J270">
        <v>0</v>
      </c>
      <c r="K270">
        <v>5</v>
      </c>
      <c r="L270">
        <v>5</v>
      </c>
      <c r="M270">
        <v>0</v>
      </c>
      <c r="N270">
        <v>1150</v>
      </c>
      <c r="O270">
        <v>3220</v>
      </c>
      <c r="P270">
        <v>3790</v>
      </c>
      <c r="Q270">
        <v>710</v>
      </c>
      <c r="R270">
        <v>0</v>
      </c>
      <c r="S270">
        <v>99950</v>
      </c>
      <c r="T270">
        <v>22032</v>
      </c>
      <c r="U270" t="s">
        <v>146</v>
      </c>
      <c r="V270" t="s">
        <v>147</v>
      </c>
      <c r="W270" t="s">
        <v>148</v>
      </c>
      <c r="X270" t="s">
        <v>149</v>
      </c>
      <c r="Y270">
        <v>0</v>
      </c>
    </row>
    <row r="271" spans="1:25" x14ac:dyDescent="0.25">
      <c r="A271" t="s">
        <v>169</v>
      </c>
      <c r="B271">
        <v>2203</v>
      </c>
      <c r="C271">
        <v>6</v>
      </c>
      <c r="D271" t="s">
        <v>144</v>
      </c>
      <c r="E271" t="s">
        <v>170</v>
      </c>
      <c r="F271">
        <v>3750</v>
      </c>
      <c r="G271">
        <v>0</v>
      </c>
      <c r="H271">
        <v>0</v>
      </c>
      <c r="I271">
        <v>1125</v>
      </c>
      <c r="J271">
        <v>0</v>
      </c>
      <c r="K271">
        <v>6</v>
      </c>
      <c r="L271">
        <v>6</v>
      </c>
      <c r="M271">
        <v>0</v>
      </c>
      <c r="N271">
        <v>1290</v>
      </c>
      <c r="O271">
        <v>3780</v>
      </c>
      <c r="P271">
        <v>4440</v>
      </c>
      <c r="Q271">
        <v>870</v>
      </c>
      <c r="R271">
        <v>0</v>
      </c>
      <c r="S271">
        <v>107410</v>
      </c>
      <c r="T271">
        <v>22032</v>
      </c>
      <c r="U271" t="s">
        <v>146</v>
      </c>
      <c r="V271" t="s">
        <v>147</v>
      </c>
      <c r="W271" t="s">
        <v>148</v>
      </c>
      <c r="X271" t="s">
        <v>149</v>
      </c>
      <c r="Y271">
        <v>0</v>
      </c>
    </row>
    <row r="272" spans="1:25" x14ac:dyDescent="0.25">
      <c r="A272" t="s">
        <v>169</v>
      </c>
      <c r="B272">
        <v>2203</v>
      </c>
      <c r="C272">
        <v>7</v>
      </c>
      <c r="D272" t="s">
        <v>144</v>
      </c>
      <c r="E272" t="s">
        <v>170</v>
      </c>
      <c r="F272">
        <v>4150</v>
      </c>
      <c r="G272">
        <v>0</v>
      </c>
      <c r="H272">
        <v>0</v>
      </c>
      <c r="I272">
        <v>1245</v>
      </c>
      <c r="J272">
        <v>0</v>
      </c>
      <c r="K272">
        <v>6</v>
      </c>
      <c r="L272">
        <v>6</v>
      </c>
      <c r="M272">
        <v>0</v>
      </c>
      <c r="N272">
        <v>1450</v>
      </c>
      <c r="O272">
        <v>4410</v>
      </c>
      <c r="P272">
        <v>5170</v>
      </c>
      <c r="Q272">
        <v>1050</v>
      </c>
      <c r="R272">
        <v>0</v>
      </c>
      <c r="S272">
        <v>115180</v>
      </c>
      <c r="T272">
        <v>22032</v>
      </c>
      <c r="U272" t="s">
        <v>146</v>
      </c>
      <c r="V272" t="s">
        <v>147</v>
      </c>
      <c r="W272" t="s">
        <v>148</v>
      </c>
      <c r="X272" t="s">
        <v>149</v>
      </c>
      <c r="Y272">
        <v>0</v>
      </c>
    </row>
    <row r="273" spans="1:25" x14ac:dyDescent="0.25">
      <c r="A273" t="s">
        <v>169</v>
      </c>
      <c r="B273">
        <v>2203</v>
      </c>
      <c r="C273">
        <v>8</v>
      </c>
      <c r="D273" t="s">
        <v>144</v>
      </c>
      <c r="E273" t="s">
        <v>170</v>
      </c>
      <c r="F273">
        <v>4550</v>
      </c>
      <c r="G273">
        <v>0</v>
      </c>
      <c r="H273">
        <v>0</v>
      </c>
      <c r="I273">
        <v>1365</v>
      </c>
      <c r="J273">
        <v>0</v>
      </c>
      <c r="K273">
        <v>6</v>
      </c>
      <c r="L273">
        <v>6</v>
      </c>
      <c r="M273">
        <v>0</v>
      </c>
      <c r="N273">
        <v>1620</v>
      </c>
      <c r="O273">
        <v>5110</v>
      </c>
      <c r="P273">
        <v>5980</v>
      </c>
      <c r="Q273">
        <v>1250</v>
      </c>
      <c r="R273">
        <v>0</v>
      </c>
      <c r="S273">
        <v>123270</v>
      </c>
      <c r="T273">
        <v>22032</v>
      </c>
      <c r="U273" t="s">
        <v>146</v>
      </c>
      <c r="V273" t="s">
        <v>147</v>
      </c>
      <c r="W273" t="s">
        <v>148</v>
      </c>
      <c r="X273" t="s">
        <v>149</v>
      </c>
      <c r="Y273">
        <v>0</v>
      </c>
    </row>
    <row r="274" spans="1:25" x14ac:dyDescent="0.25">
      <c r="A274" t="s">
        <v>169</v>
      </c>
      <c r="B274">
        <v>2203</v>
      </c>
      <c r="C274">
        <v>9</v>
      </c>
      <c r="D274" t="s">
        <v>144</v>
      </c>
      <c r="E274" t="s">
        <v>170</v>
      </c>
      <c r="F274">
        <v>5000</v>
      </c>
      <c r="G274">
        <v>0</v>
      </c>
      <c r="H274">
        <v>0</v>
      </c>
      <c r="I274">
        <v>1500</v>
      </c>
      <c r="J274">
        <v>0</v>
      </c>
      <c r="K274">
        <v>6</v>
      </c>
      <c r="L274">
        <v>6</v>
      </c>
      <c r="M274">
        <v>0</v>
      </c>
      <c r="N274">
        <v>1820</v>
      </c>
      <c r="O274">
        <v>5890</v>
      </c>
      <c r="P274">
        <v>6880</v>
      </c>
      <c r="Q274">
        <v>1470</v>
      </c>
      <c r="R274">
        <v>0</v>
      </c>
      <c r="S274">
        <v>131690</v>
      </c>
      <c r="T274">
        <v>22032</v>
      </c>
      <c r="U274" t="s">
        <v>146</v>
      </c>
      <c r="V274" t="s">
        <v>147</v>
      </c>
      <c r="W274" t="s">
        <v>148</v>
      </c>
      <c r="X274" t="s">
        <v>149</v>
      </c>
      <c r="Y274">
        <v>0</v>
      </c>
    </row>
    <row r="275" spans="1:25" x14ac:dyDescent="0.25">
      <c r="A275" t="s">
        <v>169</v>
      </c>
      <c r="B275">
        <v>2203</v>
      </c>
      <c r="C275">
        <v>10</v>
      </c>
      <c r="D275" t="s">
        <v>144</v>
      </c>
      <c r="E275" t="s">
        <v>170</v>
      </c>
      <c r="F275">
        <v>5500</v>
      </c>
      <c r="G275">
        <v>0</v>
      </c>
      <c r="H275">
        <v>0</v>
      </c>
      <c r="I275">
        <v>1650</v>
      </c>
      <c r="J275">
        <v>0</v>
      </c>
      <c r="K275">
        <v>6</v>
      </c>
      <c r="L275">
        <v>6</v>
      </c>
      <c r="M275">
        <v>0</v>
      </c>
      <c r="N275">
        <v>2030</v>
      </c>
      <c r="O275">
        <v>6760</v>
      </c>
      <c r="P275">
        <v>7890</v>
      </c>
      <c r="Q275">
        <v>1710</v>
      </c>
      <c r="R275">
        <v>0</v>
      </c>
      <c r="S275">
        <v>140450</v>
      </c>
      <c r="T275">
        <v>22032</v>
      </c>
      <c r="U275" t="s">
        <v>146</v>
      </c>
      <c r="V275" t="s">
        <v>147</v>
      </c>
      <c r="W275" t="s">
        <v>148</v>
      </c>
      <c r="X275" t="s">
        <v>149</v>
      </c>
      <c r="Y275">
        <v>0</v>
      </c>
    </row>
    <row r="276" spans="1:25" x14ac:dyDescent="0.25">
      <c r="A276" t="s">
        <v>169</v>
      </c>
      <c r="B276">
        <v>2203</v>
      </c>
      <c r="C276">
        <v>11</v>
      </c>
      <c r="D276" t="s">
        <v>144</v>
      </c>
      <c r="E276" t="s">
        <v>170</v>
      </c>
      <c r="F276">
        <v>6000</v>
      </c>
      <c r="G276">
        <v>0</v>
      </c>
      <c r="H276">
        <v>0</v>
      </c>
      <c r="I276">
        <v>1800</v>
      </c>
      <c r="J276">
        <v>0</v>
      </c>
      <c r="K276">
        <v>7</v>
      </c>
      <c r="L276">
        <v>7</v>
      </c>
      <c r="M276">
        <v>0</v>
      </c>
      <c r="N276">
        <v>2270</v>
      </c>
      <c r="O276">
        <v>7730</v>
      </c>
      <c r="P276">
        <v>9020</v>
      </c>
      <c r="Q276">
        <v>1980</v>
      </c>
      <c r="R276">
        <v>0</v>
      </c>
      <c r="S276">
        <v>149570</v>
      </c>
      <c r="T276">
        <v>22032</v>
      </c>
      <c r="U276" t="s">
        <v>146</v>
      </c>
      <c r="V276" t="s">
        <v>147</v>
      </c>
      <c r="W276" t="s">
        <v>148</v>
      </c>
      <c r="X276" t="s">
        <v>149</v>
      </c>
      <c r="Y276">
        <v>0</v>
      </c>
    </row>
    <row r="277" spans="1:25" x14ac:dyDescent="0.25">
      <c r="A277" t="s">
        <v>169</v>
      </c>
      <c r="B277">
        <v>2203</v>
      </c>
      <c r="C277">
        <v>12</v>
      </c>
      <c r="D277" t="s">
        <v>144</v>
      </c>
      <c r="E277" t="s">
        <v>170</v>
      </c>
      <c r="F277">
        <v>6550</v>
      </c>
      <c r="G277">
        <v>0</v>
      </c>
      <c r="H277">
        <v>0</v>
      </c>
      <c r="I277">
        <v>1965</v>
      </c>
      <c r="J277">
        <v>0</v>
      </c>
      <c r="K277">
        <v>7</v>
      </c>
      <c r="L277">
        <v>7</v>
      </c>
      <c r="M277">
        <v>0</v>
      </c>
      <c r="N277">
        <v>2530</v>
      </c>
      <c r="O277">
        <v>8820</v>
      </c>
      <c r="P277">
        <v>10280</v>
      </c>
      <c r="Q277">
        <v>2280</v>
      </c>
      <c r="R277">
        <v>0</v>
      </c>
      <c r="S277">
        <v>159060</v>
      </c>
      <c r="T277">
        <v>22032</v>
      </c>
      <c r="U277" t="s">
        <v>146</v>
      </c>
      <c r="V277" t="s">
        <v>147</v>
      </c>
      <c r="W277" t="s">
        <v>148</v>
      </c>
      <c r="X277" t="s">
        <v>149</v>
      </c>
      <c r="Y277">
        <v>0</v>
      </c>
    </row>
    <row r="278" spans="1:25" x14ac:dyDescent="0.25">
      <c r="A278" t="s">
        <v>169</v>
      </c>
      <c r="B278">
        <v>2203</v>
      </c>
      <c r="C278">
        <v>13</v>
      </c>
      <c r="D278" t="s">
        <v>144</v>
      </c>
      <c r="E278" t="s">
        <v>170</v>
      </c>
      <c r="F278">
        <v>7150</v>
      </c>
      <c r="G278">
        <v>0</v>
      </c>
      <c r="H278">
        <v>0</v>
      </c>
      <c r="I278">
        <v>2145</v>
      </c>
      <c r="J278">
        <v>0</v>
      </c>
      <c r="K278">
        <v>7</v>
      </c>
      <c r="L278">
        <v>7</v>
      </c>
      <c r="M278">
        <v>0</v>
      </c>
      <c r="N278">
        <v>2820</v>
      </c>
      <c r="O278">
        <v>10030</v>
      </c>
      <c r="P278">
        <v>11680</v>
      </c>
      <c r="Q278">
        <v>2600</v>
      </c>
      <c r="R278">
        <v>0</v>
      </c>
      <c r="S278">
        <v>168940</v>
      </c>
      <c r="T278">
        <v>22032</v>
      </c>
      <c r="U278" t="s">
        <v>146</v>
      </c>
      <c r="V278" t="s">
        <v>147</v>
      </c>
      <c r="W278" t="s">
        <v>148</v>
      </c>
      <c r="X278" t="s">
        <v>149</v>
      </c>
      <c r="Y278">
        <v>0</v>
      </c>
    </row>
    <row r="279" spans="1:25" x14ac:dyDescent="0.25">
      <c r="A279" t="s">
        <v>169</v>
      </c>
      <c r="B279">
        <v>2203</v>
      </c>
      <c r="C279">
        <v>14</v>
      </c>
      <c r="D279" t="s">
        <v>144</v>
      </c>
      <c r="E279" t="s">
        <v>170</v>
      </c>
      <c r="F279">
        <v>7750</v>
      </c>
      <c r="G279">
        <v>0</v>
      </c>
      <c r="H279">
        <v>0</v>
      </c>
      <c r="I279">
        <v>2325</v>
      </c>
      <c r="J279">
        <v>0</v>
      </c>
      <c r="K279">
        <v>7</v>
      </c>
      <c r="L279">
        <v>7</v>
      </c>
      <c r="M279">
        <v>0</v>
      </c>
      <c r="N279">
        <v>3140</v>
      </c>
      <c r="O279">
        <v>11380</v>
      </c>
      <c r="P279">
        <v>13250</v>
      </c>
      <c r="Q279">
        <v>2960</v>
      </c>
      <c r="R279">
        <v>0</v>
      </c>
      <c r="S279">
        <v>179220</v>
      </c>
      <c r="T279">
        <v>22032</v>
      </c>
      <c r="U279" t="s">
        <v>146</v>
      </c>
      <c r="V279" t="s">
        <v>147</v>
      </c>
      <c r="W279" t="s">
        <v>148</v>
      </c>
      <c r="X279" t="s">
        <v>149</v>
      </c>
      <c r="Y279">
        <v>0</v>
      </c>
    </row>
    <row r="280" spans="1:25" x14ac:dyDescent="0.25">
      <c r="A280" t="s">
        <v>169</v>
      </c>
      <c r="B280">
        <v>2203</v>
      </c>
      <c r="C280">
        <v>15</v>
      </c>
      <c r="D280" t="s">
        <v>144</v>
      </c>
      <c r="E280" t="s">
        <v>170</v>
      </c>
      <c r="F280">
        <v>8450</v>
      </c>
      <c r="G280">
        <v>0</v>
      </c>
      <c r="H280">
        <v>0</v>
      </c>
      <c r="I280">
        <v>2535</v>
      </c>
      <c r="J280">
        <v>0</v>
      </c>
      <c r="K280">
        <v>8</v>
      </c>
      <c r="L280">
        <v>8</v>
      </c>
      <c r="M280">
        <v>0</v>
      </c>
      <c r="N280">
        <v>3490</v>
      </c>
      <c r="O280">
        <v>12890</v>
      </c>
      <c r="P280">
        <v>15000</v>
      </c>
      <c r="Q280">
        <v>3360</v>
      </c>
      <c r="R280">
        <v>0</v>
      </c>
      <c r="S280">
        <v>189920</v>
      </c>
      <c r="T280">
        <v>22032</v>
      </c>
      <c r="U280" t="s">
        <v>146</v>
      </c>
      <c r="V280" t="s">
        <v>147</v>
      </c>
      <c r="W280" t="s">
        <v>148</v>
      </c>
      <c r="X280" t="s">
        <v>149</v>
      </c>
      <c r="Y280">
        <v>0</v>
      </c>
    </row>
    <row r="282" spans="1:25" x14ac:dyDescent="0.25">
      <c r="A282" t="s">
        <v>203</v>
      </c>
      <c r="B282" t="s">
        <v>201</v>
      </c>
      <c r="C282">
        <v>15</v>
      </c>
      <c r="K282" t="s">
        <v>1</v>
      </c>
      <c r="L282" t="s">
        <v>2</v>
      </c>
      <c r="M282" t="s">
        <v>194</v>
      </c>
      <c r="N282" t="s">
        <v>204</v>
      </c>
      <c r="O282" t="s">
        <v>205</v>
      </c>
    </row>
    <row r="283" spans="1:25" x14ac:dyDescent="0.25">
      <c r="A283" t="s">
        <v>203</v>
      </c>
      <c r="B283" t="s">
        <v>202</v>
      </c>
      <c r="C283">
        <v>3</v>
      </c>
      <c r="H283" t="s">
        <v>132</v>
      </c>
      <c r="K283">
        <v>0.08</v>
      </c>
      <c r="L283">
        <v>-5</v>
      </c>
      <c r="M283">
        <v>10000</v>
      </c>
    </row>
    <row r="284" spans="1:25" x14ac:dyDescent="0.25">
      <c r="A284" t="s">
        <v>203</v>
      </c>
      <c r="B284" t="s">
        <v>128</v>
      </c>
      <c r="C284" t="s">
        <v>120</v>
      </c>
      <c r="H284" t="s">
        <v>133</v>
      </c>
      <c r="K284">
        <v>0.21</v>
      </c>
      <c r="L284">
        <v>300</v>
      </c>
      <c r="M284">
        <v>17000</v>
      </c>
    </row>
    <row r="285" spans="1:25" x14ac:dyDescent="0.25">
      <c r="A285" t="s">
        <v>203</v>
      </c>
      <c r="H285" t="s">
        <v>198</v>
      </c>
      <c r="K285">
        <v>0.22</v>
      </c>
      <c r="L285">
        <v>270</v>
      </c>
      <c r="M285">
        <v>18000</v>
      </c>
    </row>
    <row r="286" spans="1:25" x14ac:dyDescent="0.25">
      <c r="A286" t="s">
        <v>203</v>
      </c>
      <c r="H286" t="s">
        <v>135</v>
      </c>
      <c r="K286">
        <v>0.1</v>
      </c>
      <c r="L286">
        <v>-9</v>
      </c>
      <c r="M286">
        <v>2000</v>
      </c>
    </row>
    <row r="287" spans="1:25" x14ac:dyDescent="0.25">
      <c r="A287" t="s">
        <v>203</v>
      </c>
      <c r="H287" t="s">
        <v>136</v>
      </c>
      <c r="K287">
        <v>0</v>
      </c>
      <c r="L287">
        <v>0</v>
      </c>
      <c r="M287">
        <v>0</v>
      </c>
    </row>
    <row r="288" spans="1:25" x14ac:dyDescent="0.25">
      <c r="A288" t="s">
        <v>203</v>
      </c>
      <c r="H288" t="s">
        <v>69</v>
      </c>
      <c r="K288">
        <v>0.1</v>
      </c>
      <c r="L288" s="3">
        <v>3600</v>
      </c>
      <c r="M288" s="3">
        <v>93600</v>
      </c>
      <c r="N288" s="13" t="s">
        <v>227</v>
      </c>
      <c r="O288" s="13" t="s">
        <v>228</v>
      </c>
    </row>
    <row r="289" spans="1:25" x14ac:dyDescent="0.25">
      <c r="L289" s="3"/>
      <c r="M289" s="3"/>
    </row>
    <row r="290" spans="1:25" x14ac:dyDescent="0.25">
      <c r="A290" t="s">
        <v>171</v>
      </c>
      <c r="B290">
        <v>2301</v>
      </c>
      <c r="C290">
        <v>0</v>
      </c>
      <c r="D290" t="s">
        <v>144</v>
      </c>
      <c r="E290" t="s">
        <v>145</v>
      </c>
      <c r="F290">
        <v>500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 t="s">
        <v>146</v>
      </c>
      <c r="V290" t="s">
        <v>147</v>
      </c>
      <c r="W290" t="s">
        <v>148</v>
      </c>
      <c r="X290" t="s">
        <v>149</v>
      </c>
      <c r="Y290">
        <v>0</v>
      </c>
    </row>
    <row r="291" spans="1:25" x14ac:dyDescent="0.25">
      <c r="A291" t="s">
        <v>171</v>
      </c>
      <c r="B291">
        <v>2301</v>
      </c>
      <c r="C291">
        <v>1</v>
      </c>
      <c r="D291" t="s">
        <v>144</v>
      </c>
      <c r="E291" t="s">
        <v>172</v>
      </c>
      <c r="F291">
        <v>2480</v>
      </c>
      <c r="G291">
        <v>0</v>
      </c>
      <c r="H291">
        <v>0</v>
      </c>
      <c r="I291">
        <v>248</v>
      </c>
      <c r="J291">
        <v>0</v>
      </c>
      <c r="K291">
        <v>5</v>
      </c>
      <c r="L291">
        <v>7</v>
      </c>
      <c r="M291">
        <v>0</v>
      </c>
      <c r="N291">
        <v>0</v>
      </c>
      <c r="O291">
        <v>300</v>
      </c>
      <c r="P291">
        <v>270</v>
      </c>
      <c r="Q291">
        <v>0</v>
      </c>
      <c r="R291">
        <v>0</v>
      </c>
      <c r="S291">
        <v>3600</v>
      </c>
      <c r="T291">
        <v>23011</v>
      </c>
      <c r="U291" t="s">
        <v>146</v>
      </c>
      <c r="V291" t="s">
        <v>147</v>
      </c>
      <c r="W291" t="s">
        <v>148</v>
      </c>
      <c r="X291" t="s">
        <v>149</v>
      </c>
      <c r="Y291">
        <v>0</v>
      </c>
    </row>
    <row r="292" spans="1:25" x14ac:dyDescent="0.25">
      <c r="A292" t="s">
        <v>171</v>
      </c>
      <c r="B292">
        <v>2301</v>
      </c>
      <c r="C292">
        <v>2</v>
      </c>
      <c r="D292" t="s">
        <v>144</v>
      </c>
      <c r="E292" t="s">
        <v>172</v>
      </c>
      <c r="F292">
        <v>2880</v>
      </c>
      <c r="G292">
        <v>0</v>
      </c>
      <c r="H292">
        <v>0</v>
      </c>
      <c r="I292">
        <v>288</v>
      </c>
      <c r="J292">
        <v>0</v>
      </c>
      <c r="K292">
        <v>5</v>
      </c>
      <c r="L292">
        <v>7</v>
      </c>
      <c r="M292">
        <v>0</v>
      </c>
      <c r="N292">
        <v>0</v>
      </c>
      <c r="O292">
        <v>510</v>
      </c>
      <c r="P292">
        <v>480</v>
      </c>
      <c r="Q292">
        <v>0</v>
      </c>
      <c r="R292">
        <v>0</v>
      </c>
      <c r="S292">
        <v>6120</v>
      </c>
      <c r="T292">
        <v>23012</v>
      </c>
      <c r="U292" t="s">
        <v>146</v>
      </c>
      <c r="V292" t="s">
        <v>147</v>
      </c>
      <c r="W292" t="s">
        <v>148</v>
      </c>
      <c r="X292" t="s">
        <v>149</v>
      </c>
      <c r="Y292">
        <v>0</v>
      </c>
    </row>
    <row r="293" spans="1:25" x14ac:dyDescent="0.25">
      <c r="A293" t="s">
        <v>171</v>
      </c>
      <c r="B293">
        <v>2301</v>
      </c>
      <c r="C293">
        <v>3</v>
      </c>
      <c r="D293" t="s">
        <v>144</v>
      </c>
      <c r="E293" t="s">
        <v>172</v>
      </c>
      <c r="F293">
        <v>3360</v>
      </c>
      <c r="G293">
        <v>0</v>
      </c>
      <c r="H293">
        <v>0</v>
      </c>
      <c r="I293">
        <v>336</v>
      </c>
      <c r="J293">
        <v>0</v>
      </c>
      <c r="K293">
        <v>5</v>
      </c>
      <c r="L293">
        <v>7</v>
      </c>
      <c r="M293">
        <v>0</v>
      </c>
      <c r="N293">
        <v>0</v>
      </c>
      <c r="O293">
        <v>780</v>
      </c>
      <c r="P293">
        <v>730</v>
      </c>
      <c r="Q293">
        <v>0</v>
      </c>
      <c r="R293">
        <v>0</v>
      </c>
      <c r="S293">
        <v>8910</v>
      </c>
      <c r="T293">
        <v>23013</v>
      </c>
      <c r="U293" t="s">
        <v>146</v>
      </c>
      <c r="V293" t="s">
        <v>147</v>
      </c>
      <c r="W293" t="s">
        <v>148</v>
      </c>
      <c r="X293" t="s">
        <v>149</v>
      </c>
      <c r="Y293">
        <v>0</v>
      </c>
    </row>
    <row r="294" spans="1:25" x14ac:dyDescent="0.25">
      <c r="A294" t="s">
        <v>171</v>
      </c>
      <c r="B294">
        <v>2301</v>
      </c>
      <c r="C294">
        <v>4</v>
      </c>
      <c r="D294" t="s">
        <v>144</v>
      </c>
      <c r="E294" t="s">
        <v>172</v>
      </c>
      <c r="F294">
        <v>3920</v>
      </c>
      <c r="G294">
        <v>0</v>
      </c>
      <c r="H294">
        <v>0</v>
      </c>
      <c r="I294">
        <v>392</v>
      </c>
      <c r="J294">
        <v>0</v>
      </c>
      <c r="K294">
        <v>5</v>
      </c>
      <c r="L294">
        <v>7</v>
      </c>
      <c r="M294">
        <v>0</v>
      </c>
      <c r="N294">
        <v>0</v>
      </c>
      <c r="O294">
        <v>1100</v>
      </c>
      <c r="P294">
        <v>1050</v>
      </c>
      <c r="Q294">
        <v>0</v>
      </c>
      <c r="R294">
        <v>0</v>
      </c>
      <c r="S294">
        <v>11990</v>
      </c>
      <c r="T294">
        <v>23014</v>
      </c>
      <c r="U294" t="s">
        <v>146</v>
      </c>
      <c r="V294" t="s">
        <v>147</v>
      </c>
      <c r="W294" t="s">
        <v>148</v>
      </c>
      <c r="X294" t="s">
        <v>149</v>
      </c>
      <c r="Y294">
        <v>0</v>
      </c>
    </row>
    <row r="295" spans="1:25" x14ac:dyDescent="0.25">
      <c r="A295" t="s">
        <v>171</v>
      </c>
      <c r="B295">
        <v>2301</v>
      </c>
      <c r="C295">
        <v>5</v>
      </c>
      <c r="D295" t="s">
        <v>144</v>
      </c>
      <c r="E295" t="s">
        <v>172</v>
      </c>
      <c r="F295">
        <v>4400</v>
      </c>
      <c r="G295">
        <v>0</v>
      </c>
      <c r="H295">
        <v>0</v>
      </c>
      <c r="I295">
        <v>440</v>
      </c>
      <c r="J295">
        <v>0</v>
      </c>
      <c r="K295">
        <v>5</v>
      </c>
      <c r="L295">
        <v>7</v>
      </c>
      <c r="M295">
        <v>0</v>
      </c>
      <c r="N295">
        <v>0</v>
      </c>
      <c r="O295">
        <v>1500</v>
      </c>
      <c r="P295">
        <v>1450</v>
      </c>
      <c r="Q295">
        <v>0</v>
      </c>
      <c r="R295">
        <v>0</v>
      </c>
      <c r="S295">
        <v>15390</v>
      </c>
      <c r="T295">
        <v>23015</v>
      </c>
      <c r="U295" t="s">
        <v>146</v>
      </c>
      <c r="V295" t="s">
        <v>147</v>
      </c>
      <c r="W295" t="s">
        <v>148</v>
      </c>
      <c r="X295" t="s">
        <v>149</v>
      </c>
      <c r="Y295">
        <v>0</v>
      </c>
    </row>
    <row r="296" spans="1:25" x14ac:dyDescent="0.25">
      <c r="A296" t="s">
        <v>171</v>
      </c>
      <c r="B296">
        <v>2301</v>
      </c>
      <c r="C296">
        <v>6</v>
      </c>
      <c r="D296" t="s">
        <v>144</v>
      </c>
      <c r="E296" t="s">
        <v>172</v>
      </c>
      <c r="F296">
        <v>4960</v>
      </c>
      <c r="G296">
        <v>0</v>
      </c>
      <c r="H296">
        <v>0</v>
      </c>
      <c r="I296">
        <v>496</v>
      </c>
      <c r="J296">
        <v>0</v>
      </c>
      <c r="K296">
        <v>6</v>
      </c>
      <c r="L296">
        <v>8</v>
      </c>
      <c r="M296">
        <v>0</v>
      </c>
      <c r="N296">
        <v>370</v>
      </c>
      <c r="O296">
        <v>2000</v>
      </c>
      <c r="P296">
        <v>1950</v>
      </c>
      <c r="Q296">
        <v>0</v>
      </c>
      <c r="R296">
        <v>0</v>
      </c>
      <c r="S296">
        <v>19150</v>
      </c>
      <c r="T296">
        <v>23016</v>
      </c>
      <c r="U296" t="s">
        <v>146</v>
      </c>
      <c r="V296" t="s">
        <v>147</v>
      </c>
      <c r="W296" t="s">
        <v>148</v>
      </c>
      <c r="X296" t="s">
        <v>149</v>
      </c>
      <c r="Y296">
        <v>0</v>
      </c>
    </row>
    <row r="297" spans="1:25" x14ac:dyDescent="0.25">
      <c r="A297" t="s">
        <v>171</v>
      </c>
      <c r="B297">
        <v>2301</v>
      </c>
      <c r="C297">
        <v>7</v>
      </c>
      <c r="D297" t="s">
        <v>144</v>
      </c>
      <c r="E297" t="s">
        <v>172</v>
      </c>
      <c r="F297">
        <v>5600</v>
      </c>
      <c r="G297">
        <v>0</v>
      </c>
      <c r="H297">
        <v>0</v>
      </c>
      <c r="I297">
        <v>560</v>
      </c>
      <c r="J297">
        <v>0</v>
      </c>
      <c r="K297">
        <v>6</v>
      </c>
      <c r="L297">
        <v>8</v>
      </c>
      <c r="M297">
        <v>0</v>
      </c>
      <c r="N297">
        <v>780</v>
      </c>
      <c r="O297">
        <v>2610</v>
      </c>
      <c r="P297">
        <v>2570</v>
      </c>
      <c r="Q297">
        <v>0</v>
      </c>
      <c r="R297">
        <v>0</v>
      </c>
      <c r="S297">
        <v>23310</v>
      </c>
      <c r="T297">
        <v>23016</v>
      </c>
      <c r="U297" t="s">
        <v>146</v>
      </c>
      <c r="V297" t="s">
        <v>147</v>
      </c>
      <c r="W297" t="s">
        <v>148</v>
      </c>
      <c r="X297" t="s">
        <v>149</v>
      </c>
      <c r="Y297">
        <v>0</v>
      </c>
    </row>
    <row r="298" spans="1:25" x14ac:dyDescent="0.25">
      <c r="A298" t="s">
        <v>171</v>
      </c>
      <c r="B298">
        <v>2301</v>
      </c>
      <c r="C298">
        <v>8</v>
      </c>
      <c r="D298" t="s">
        <v>144</v>
      </c>
      <c r="E298" t="s">
        <v>172</v>
      </c>
      <c r="F298">
        <v>6240</v>
      </c>
      <c r="G298">
        <v>0</v>
      </c>
      <c r="H298">
        <v>0</v>
      </c>
      <c r="I298">
        <v>624</v>
      </c>
      <c r="J298">
        <v>0</v>
      </c>
      <c r="K298">
        <v>6</v>
      </c>
      <c r="L298">
        <v>8</v>
      </c>
      <c r="M298">
        <v>0</v>
      </c>
      <c r="N298">
        <v>1220</v>
      </c>
      <c r="O298">
        <v>3360</v>
      </c>
      <c r="P298">
        <v>3350</v>
      </c>
      <c r="Q298">
        <v>0</v>
      </c>
      <c r="R298">
        <v>0</v>
      </c>
      <c r="S298">
        <v>27900</v>
      </c>
      <c r="T298">
        <v>23016</v>
      </c>
      <c r="U298" t="s">
        <v>146</v>
      </c>
      <c r="V298" t="s">
        <v>147</v>
      </c>
      <c r="W298" t="s">
        <v>148</v>
      </c>
      <c r="X298" t="s">
        <v>149</v>
      </c>
      <c r="Y298">
        <v>0</v>
      </c>
    </row>
    <row r="299" spans="1:25" x14ac:dyDescent="0.25">
      <c r="A299" t="s">
        <v>171</v>
      </c>
      <c r="B299">
        <v>2301</v>
      </c>
      <c r="C299">
        <v>9</v>
      </c>
      <c r="D299" t="s">
        <v>144</v>
      </c>
      <c r="E299" t="s">
        <v>172</v>
      </c>
      <c r="F299">
        <v>6960</v>
      </c>
      <c r="G299">
        <v>0</v>
      </c>
      <c r="H299">
        <v>0</v>
      </c>
      <c r="I299">
        <v>696</v>
      </c>
      <c r="J299">
        <v>0</v>
      </c>
      <c r="K299">
        <v>6</v>
      </c>
      <c r="L299">
        <v>8</v>
      </c>
      <c r="M299">
        <v>0</v>
      </c>
      <c r="N299">
        <v>1690</v>
      </c>
      <c r="O299">
        <v>4290</v>
      </c>
      <c r="P299">
        <v>4310</v>
      </c>
      <c r="Q299">
        <v>0</v>
      </c>
      <c r="R299">
        <v>0</v>
      </c>
      <c r="S299">
        <v>32980</v>
      </c>
      <c r="T299">
        <v>23016</v>
      </c>
      <c r="U299" t="s">
        <v>146</v>
      </c>
      <c r="V299" t="s">
        <v>147</v>
      </c>
      <c r="W299" t="s">
        <v>148</v>
      </c>
      <c r="X299" t="s">
        <v>149</v>
      </c>
      <c r="Y299">
        <v>0</v>
      </c>
    </row>
    <row r="300" spans="1:25" x14ac:dyDescent="0.25">
      <c r="A300" t="s">
        <v>171</v>
      </c>
      <c r="B300">
        <v>2301</v>
      </c>
      <c r="C300">
        <v>10</v>
      </c>
      <c r="D300" t="s">
        <v>144</v>
      </c>
      <c r="E300" t="s">
        <v>172</v>
      </c>
      <c r="F300">
        <v>7760</v>
      </c>
      <c r="G300">
        <v>0</v>
      </c>
      <c r="H300">
        <v>0</v>
      </c>
      <c r="I300">
        <v>776</v>
      </c>
      <c r="J300">
        <v>0</v>
      </c>
      <c r="K300">
        <v>6</v>
      </c>
      <c r="L300">
        <v>8</v>
      </c>
      <c r="M300">
        <v>0</v>
      </c>
      <c r="N300">
        <v>2210</v>
      </c>
      <c r="O300">
        <v>5440</v>
      </c>
      <c r="P300">
        <v>5510</v>
      </c>
      <c r="Q300">
        <v>120</v>
      </c>
      <c r="R300">
        <v>0</v>
      </c>
      <c r="S300">
        <v>38590</v>
      </c>
      <c r="T300">
        <v>23016</v>
      </c>
      <c r="U300" t="s">
        <v>146</v>
      </c>
      <c r="V300" t="s">
        <v>147</v>
      </c>
      <c r="W300" t="s">
        <v>148</v>
      </c>
      <c r="X300" t="s">
        <v>149</v>
      </c>
      <c r="Y300">
        <v>0</v>
      </c>
    </row>
    <row r="301" spans="1:25" x14ac:dyDescent="0.25">
      <c r="A301" t="s">
        <v>171</v>
      </c>
      <c r="B301">
        <v>2301</v>
      </c>
      <c r="C301">
        <v>11</v>
      </c>
      <c r="D301" t="s">
        <v>144</v>
      </c>
      <c r="E301" t="s">
        <v>172</v>
      </c>
      <c r="F301">
        <v>8560</v>
      </c>
      <c r="G301">
        <v>0</v>
      </c>
      <c r="H301">
        <v>0</v>
      </c>
      <c r="I301">
        <v>856</v>
      </c>
      <c r="J301">
        <v>0</v>
      </c>
      <c r="K301">
        <v>7</v>
      </c>
      <c r="L301">
        <v>9</v>
      </c>
      <c r="M301">
        <v>0</v>
      </c>
      <c r="N301">
        <v>2770</v>
      </c>
      <c r="O301">
        <v>6850</v>
      </c>
      <c r="P301">
        <v>7010</v>
      </c>
      <c r="Q301">
        <v>240</v>
      </c>
      <c r="R301">
        <v>0</v>
      </c>
      <c r="S301">
        <v>44790</v>
      </c>
      <c r="T301">
        <v>23016</v>
      </c>
      <c r="U301" t="s">
        <v>146</v>
      </c>
      <c r="V301" t="s">
        <v>147</v>
      </c>
      <c r="W301" t="s">
        <v>148</v>
      </c>
      <c r="X301" t="s">
        <v>149</v>
      </c>
      <c r="Y301">
        <v>0</v>
      </c>
    </row>
    <row r="302" spans="1:25" x14ac:dyDescent="0.25">
      <c r="A302" t="s">
        <v>171</v>
      </c>
      <c r="B302">
        <v>2301</v>
      </c>
      <c r="C302">
        <v>12</v>
      </c>
      <c r="D302" t="s">
        <v>144</v>
      </c>
      <c r="E302" t="s">
        <v>172</v>
      </c>
      <c r="F302">
        <v>9440</v>
      </c>
      <c r="G302">
        <v>0</v>
      </c>
      <c r="H302">
        <v>0</v>
      </c>
      <c r="I302">
        <v>944</v>
      </c>
      <c r="J302">
        <v>0</v>
      </c>
      <c r="K302">
        <v>7</v>
      </c>
      <c r="L302">
        <v>9</v>
      </c>
      <c r="M302">
        <v>0</v>
      </c>
      <c r="N302">
        <v>3370</v>
      </c>
      <c r="O302">
        <v>8600</v>
      </c>
      <c r="P302">
        <v>8870</v>
      </c>
      <c r="Q302">
        <v>380</v>
      </c>
      <c r="R302">
        <v>0</v>
      </c>
      <c r="S302">
        <v>51640</v>
      </c>
      <c r="T302">
        <v>23016</v>
      </c>
      <c r="U302" t="s">
        <v>146</v>
      </c>
      <c r="V302" t="s">
        <v>147</v>
      </c>
      <c r="W302" t="s">
        <v>148</v>
      </c>
      <c r="X302" t="s">
        <v>149</v>
      </c>
      <c r="Y302">
        <v>0</v>
      </c>
    </row>
    <row r="303" spans="1:25" x14ac:dyDescent="0.25">
      <c r="A303" t="s">
        <v>171</v>
      </c>
      <c r="B303">
        <v>2301</v>
      </c>
      <c r="C303">
        <v>13</v>
      </c>
      <c r="D303" t="s">
        <v>144</v>
      </c>
      <c r="E303" t="s">
        <v>172</v>
      </c>
      <c r="F303">
        <v>10400</v>
      </c>
      <c r="G303">
        <v>0</v>
      </c>
      <c r="H303">
        <v>0</v>
      </c>
      <c r="I303">
        <v>1040</v>
      </c>
      <c r="J303">
        <v>0</v>
      </c>
      <c r="K303">
        <v>7</v>
      </c>
      <c r="L303">
        <v>9</v>
      </c>
      <c r="M303">
        <v>0</v>
      </c>
      <c r="N303">
        <v>4030</v>
      </c>
      <c r="O303">
        <v>10750</v>
      </c>
      <c r="P303">
        <v>11200</v>
      </c>
      <c r="Q303">
        <v>540</v>
      </c>
      <c r="R303">
        <v>0</v>
      </c>
      <c r="S303">
        <v>59210</v>
      </c>
      <c r="T303">
        <v>23016</v>
      </c>
      <c r="U303" t="s">
        <v>146</v>
      </c>
      <c r="V303" t="s">
        <v>147</v>
      </c>
      <c r="W303" t="s">
        <v>148</v>
      </c>
      <c r="X303" t="s">
        <v>149</v>
      </c>
      <c r="Y303">
        <v>0</v>
      </c>
    </row>
    <row r="304" spans="1:25" x14ac:dyDescent="0.25">
      <c r="A304" t="s">
        <v>171</v>
      </c>
      <c r="B304">
        <v>2301</v>
      </c>
      <c r="C304">
        <v>14</v>
      </c>
      <c r="D304" t="s">
        <v>144</v>
      </c>
      <c r="E304" t="s">
        <v>172</v>
      </c>
      <c r="F304">
        <v>11360</v>
      </c>
      <c r="G304">
        <v>0</v>
      </c>
      <c r="H304">
        <v>0</v>
      </c>
      <c r="I304">
        <v>1136</v>
      </c>
      <c r="J304">
        <v>0</v>
      </c>
      <c r="K304">
        <v>7</v>
      </c>
      <c r="L304">
        <v>9</v>
      </c>
      <c r="M304">
        <v>0</v>
      </c>
      <c r="N304">
        <v>4740</v>
      </c>
      <c r="O304">
        <v>13410</v>
      </c>
      <c r="P304">
        <v>14090</v>
      </c>
      <c r="Q304">
        <v>710</v>
      </c>
      <c r="R304">
        <v>0</v>
      </c>
      <c r="S304">
        <v>67580</v>
      </c>
      <c r="T304">
        <v>23016</v>
      </c>
      <c r="U304" t="s">
        <v>146</v>
      </c>
      <c r="V304" t="s">
        <v>147</v>
      </c>
      <c r="W304" t="s">
        <v>148</v>
      </c>
      <c r="X304" t="s">
        <v>149</v>
      </c>
      <c r="Y304">
        <v>0</v>
      </c>
    </row>
    <row r="305" spans="1:25" x14ac:dyDescent="0.25">
      <c r="A305" t="s">
        <v>171</v>
      </c>
      <c r="B305">
        <v>2301</v>
      </c>
      <c r="C305">
        <v>15</v>
      </c>
      <c r="D305" t="s">
        <v>144</v>
      </c>
      <c r="E305" t="s">
        <v>172</v>
      </c>
      <c r="F305">
        <v>12480</v>
      </c>
      <c r="G305">
        <v>0</v>
      </c>
      <c r="H305">
        <v>0</v>
      </c>
      <c r="I305">
        <v>1248</v>
      </c>
      <c r="J305">
        <v>0</v>
      </c>
      <c r="K305">
        <v>8</v>
      </c>
      <c r="L305">
        <v>10</v>
      </c>
      <c r="M305">
        <v>0</v>
      </c>
      <c r="N305">
        <v>5510</v>
      </c>
      <c r="O305">
        <v>16690</v>
      </c>
      <c r="P305">
        <v>17700</v>
      </c>
      <c r="Q305">
        <v>900</v>
      </c>
      <c r="R305">
        <v>0</v>
      </c>
      <c r="S305">
        <v>76830</v>
      </c>
      <c r="T305">
        <v>23016</v>
      </c>
      <c r="U305" t="s">
        <v>146</v>
      </c>
      <c r="V305" t="s">
        <v>147</v>
      </c>
      <c r="W305" t="s">
        <v>148</v>
      </c>
      <c r="X305" t="s">
        <v>149</v>
      </c>
      <c r="Y305">
        <v>0</v>
      </c>
    </row>
    <row r="307" spans="1:25" x14ac:dyDescent="0.25">
      <c r="A307" t="s">
        <v>203</v>
      </c>
      <c r="B307" t="s">
        <v>201</v>
      </c>
      <c r="C307">
        <v>10</v>
      </c>
      <c r="K307" t="s">
        <v>1</v>
      </c>
      <c r="L307" t="s">
        <v>2</v>
      </c>
      <c r="M307" t="s">
        <v>194</v>
      </c>
      <c r="N307" t="s">
        <v>204</v>
      </c>
      <c r="O307" t="s">
        <v>205</v>
      </c>
    </row>
    <row r="308" spans="1:25" x14ac:dyDescent="0.25">
      <c r="A308" t="s">
        <v>203</v>
      </c>
      <c r="B308" t="s">
        <v>202</v>
      </c>
      <c r="C308">
        <v>4</v>
      </c>
      <c r="H308" t="s">
        <v>132</v>
      </c>
      <c r="K308">
        <v>0.15</v>
      </c>
      <c r="L308">
        <v>-2</v>
      </c>
      <c r="M308">
        <v>10000</v>
      </c>
    </row>
    <row r="309" spans="1:25" x14ac:dyDescent="0.25">
      <c r="A309" t="s">
        <v>203</v>
      </c>
      <c r="B309" t="s">
        <v>128</v>
      </c>
      <c r="C309" t="s">
        <v>120</v>
      </c>
      <c r="H309" t="s">
        <v>133</v>
      </c>
      <c r="K309">
        <v>0.16</v>
      </c>
      <c r="L309">
        <v>400</v>
      </c>
      <c r="M309">
        <v>7000</v>
      </c>
    </row>
    <row r="310" spans="1:25" x14ac:dyDescent="0.25">
      <c r="A310" t="s">
        <v>203</v>
      </c>
      <c r="H310" t="s">
        <v>198</v>
      </c>
      <c r="K310">
        <v>0.23</v>
      </c>
      <c r="L310">
        <v>510</v>
      </c>
      <c r="M310">
        <v>9000</v>
      </c>
    </row>
    <row r="311" spans="1:25" x14ac:dyDescent="0.25">
      <c r="A311" t="s">
        <v>203</v>
      </c>
      <c r="H311" t="s">
        <v>135</v>
      </c>
      <c r="K311">
        <v>0</v>
      </c>
      <c r="L311">
        <v>0</v>
      </c>
      <c r="M311">
        <v>0</v>
      </c>
    </row>
    <row r="312" spans="1:25" x14ac:dyDescent="0.25">
      <c r="A312" t="s">
        <v>203</v>
      </c>
      <c r="H312" t="s">
        <v>136</v>
      </c>
      <c r="K312">
        <v>0</v>
      </c>
      <c r="L312">
        <v>0</v>
      </c>
      <c r="M312">
        <v>0</v>
      </c>
    </row>
    <row r="313" spans="1:25" x14ac:dyDescent="0.25">
      <c r="A313" t="s">
        <v>203</v>
      </c>
      <c r="H313" t="s">
        <v>69</v>
      </c>
      <c r="K313">
        <v>0.2</v>
      </c>
      <c r="L313">
        <v>12150</v>
      </c>
      <c r="M313">
        <v>115270</v>
      </c>
      <c r="N313" s="13" t="s">
        <v>74</v>
      </c>
      <c r="O313" s="13" t="s">
        <v>234</v>
      </c>
    </row>
    <row r="314" spans="1:25" x14ac:dyDescent="0.25">
      <c r="L314" s="3"/>
      <c r="M314" s="3"/>
    </row>
    <row r="315" spans="1:25" x14ac:dyDescent="0.25">
      <c r="A315" t="s">
        <v>173</v>
      </c>
      <c r="B315">
        <v>2302</v>
      </c>
      <c r="C315">
        <v>0</v>
      </c>
      <c r="D315" t="s">
        <v>144</v>
      </c>
      <c r="E315" t="s">
        <v>145</v>
      </c>
      <c r="F315">
        <v>500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 t="s">
        <v>146</v>
      </c>
      <c r="V315" t="s">
        <v>147</v>
      </c>
      <c r="W315" t="s">
        <v>148</v>
      </c>
      <c r="X315" t="s">
        <v>149</v>
      </c>
      <c r="Y315">
        <v>0</v>
      </c>
    </row>
    <row r="316" spans="1:25" x14ac:dyDescent="0.25">
      <c r="A316" t="s">
        <v>173</v>
      </c>
      <c r="B316">
        <v>2302</v>
      </c>
      <c r="C316">
        <v>1</v>
      </c>
      <c r="D316" t="s">
        <v>144</v>
      </c>
      <c r="E316" t="s">
        <v>174</v>
      </c>
      <c r="F316">
        <v>3040</v>
      </c>
      <c r="G316">
        <v>0</v>
      </c>
      <c r="H316">
        <v>0</v>
      </c>
      <c r="I316">
        <v>304</v>
      </c>
      <c r="J316">
        <v>0</v>
      </c>
      <c r="K316">
        <v>5</v>
      </c>
      <c r="L316">
        <v>7</v>
      </c>
      <c r="M316">
        <v>0</v>
      </c>
      <c r="N316">
        <v>0</v>
      </c>
      <c r="O316">
        <v>400</v>
      </c>
      <c r="P316">
        <v>510</v>
      </c>
      <c r="Q316">
        <v>0</v>
      </c>
      <c r="R316">
        <v>0</v>
      </c>
      <c r="S316">
        <v>12150</v>
      </c>
      <c r="T316">
        <v>23020</v>
      </c>
      <c r="U316" t="s">
        <v>146</v>
      </c>
      <c r="V316" t="s">
        <v>147</v>
      </c>
      <c r="W316" t="s">
        <v>148</v>
      </c>
      <c r="X316" t="s">
        <v>149</v>
      </c>
      <c r="Y316">
        <v>0</v>
      </c>
    </row>
    <row r="317" spans="1:25" x14ac:dyDescent="0.25">
      <c r="A317" t="s">
        <v>173</v>
      </c>
      <c r="B317">
        <v>2302</v>
      </c>
      <c r="C317">
        <v>2</v>
      </c>
      <c r="D317" t="s">
        <v>144</v>
      </c>
      <c r="E317" t="s">
        <v>174</v>
      </c>
      <c r="F317">
        <v>3440</v>
      </c>
      <c r="G317">
        <v>0</v>
      </c>
      <c r="H317">
        <v>0</v>
      </c>
      <c r="I317">
        <v>344</v>
      </c>
      <c r="J317">
        <v>0</v>
      </c>
      <c r="K317">
        <v>5</v>
      </c>
      <c r="L317">
        <v>7</v>
      </c>
      <c r="M317">
        <v>0</v>
      </c>
      <c r="N317">
        <v>0</v>
      </c>
      <c r="O317">
        <v>700</v>
      </c>
      <c r="P317">
        <v>820</v>
      </c>
      <c r="Q317">
        <v>0</v>
      </c>
      <c r="R317">
        <v>0</v>
      </c>
      <c r="S317">
        <v>16810</v>
      </c>
      <c r="T317">
        <v>23021</v>
      </c>
      <c r="U317" t="s">
        <v>146</v>
      </c>
      <c r="V317" t="s">
        <v>147</v>
      </c>
      <c r="W317" t="s">
        <v>148</v>
      </c>
      <c r="X317" t="s">
        <v>149</v>
      </c>
      <c r="Y317">
        <v>0</v>
      </c>
    </row>
    <row r="318" spans="1:25" x14ac:dyDescent="0.25">
      <c r="A318" t="s">
        <v>173</v>
      </c>
      <c r="B318">
        <v>2302</v>
      </c>
      <c r="C318">
        <v>3</v>
      </c>
      <c r="D318" t="s">
        <v>144</v>
      </c>
      <c r="E318" t="s">
        <v>174</v>
      </c>
      <c r="F318">
        <v>3920</v>
      </c>
      <c r="G318">
        <v>0</v>
      </c>
      <c r="H318">
        <v>0</v>
      </c>
      <c r="I318">
        <v>392</v>
      </c>
      <c r="J318">
        <v>0</v>
      </c>
      <c r="K318">
        <v>5</v>
      </c>
      <c r="L318">
        <v>7</v>
      </c>
      <c r="M318">
        <v>0</v>
      </c>
      <c r="N318">
        <v>490</v>
      </c>
      <c r="O318">
        <v>1060</v>
      </c>
      <c r="P318">
        <v>1210</v>
      </c>
      <c r="Q318">
        <v>0</v>
      </c>
      <c r="R318">
        <v>0</v>
      </c>
      <c r="S318">
        <v>22510</v>
      </c>
      <c r="T318">
        <v>23022</v>
      </c>
      <c r="U318" t="s">
        <v>146</v>
      </c>
      <c r="V318" t="s">
        <v>147</v>
      </c>
      <c r="W318" t="s">
        <v>148</v>
      </c>
      <c r="X318" t="s">
        <v>149</v>
      </c>
      <c r="Y318">
        <v>0</v>
      </c>
    </row>
    <row r="319" spans="1:25" x14ac:dyDescent="0.25">
      <c r="A319" t="s">
        <v>173</v>
      </c>
      <c r="B319">
        <v>2302</v>
      </c>
      <c r="C319">
        <v>4</v>
      </c>
      <c r="D319" t="s">
        <v>144</v>
      </c>
      <c r="E319" t="s">
        <v>174</v>
      </c>
      <c r="F319">
        <v>4480</v>
      </c>
      <c r="G319">
        <v>0</v>
      </c>
      <c r="H319">
        <v>0</v>
      </c>
      <c r="I319">
        <v>448</v>
      </c>
      <c r="J319">
        <v>0</v>
      </c>
      <c r="K319">
        <v>5</v>
      </c>
      <c r="L319">
        <v>7</v>
      </c>
      <c r="M319">
        <v>0</v>
      </c>
      <c r="N319">
        <v>1050</v>
      </c>
      <c r="O319">
        <v>1480</v>
      </c>
      <c r="P319">
        <v>1700</v>
      </c>
      <c r="Q319">
        <v>0</v>
      </c>
      <c r="R319">
        <v>0</v>
      </c>
      <c r="S319">
        <v>29470</v>
      </c>
      <c r="T319">
        <v>23023</v>
      </c>
      <c r="U319" t="s">
        <v>146</v>
      </c>
      <c r="V319" t="s">
        <v>147</v>
      </c>
      <c r="W319" t="s">
        <v>148</v>
      </c>
      <c r="X319" t="s">
        <v>149</v>
      </c>
      <c r="Y319">
        <v>0</v>
      </c>
    </row>
    <row r="320" spans="1:25" x14ac:dyDescent="0.25">
      <c r="A320" t="s">
        <v>173</v>
      </c>
      <c r="B320">
        <v>2302</v>
      </c>
      <c r="C320">
        <v>5</v>
      </c>
      <c r="D320" t="s">
        <v>144</v>
      </c>
      <c r="E320" t="s">
        <v>174</v>
      </c>
      <c r="F320">
        <v>4960</v>
      </c>
      <c r="G320">
        <v>0</v>
      </c>
      <c r="H320">
        <v>0</v>
      </c>
      <c r="I320">
        <v>496</v>
      </c>
      <c r="J320">
        <v>0</v>
      </c>
      <c r="K320">
        <v>5</v>
      </c>
      <c r="L320">
        <v>7</v>
      </c>
      <c r="M320">
        <v>0</v>
      </c>
      <c r="N320">
        <v>1710</v>
      </c>
      <c r="O320">
        <v>1970</v>
      </c>
      <c r="P320">
        <v>2320</v>
      </c>
      <c r="Q320">
        <v>0</v>
      </c>
      <c r="R320">
        <v>0</v>
      </c>
      <c r="S320">
        <v>37960</v>
      </c>
      <c r="T320">
        <v>23024</v>
      </c>
      <c r="U320" t="s">
        <v>146</v>
      </c>
      <c r="V320" t="s">
        <v>147</v>
      </c>
      <c r="W320" t="s">
        <v>148</v>
      </c>
      <c r="X320" t="s">
        <v>149</v>
      </c>
      <c r="Y320">
        <v>0</v>
      </c>
    </row>
    <row r="321" spans="1:25" x14ac:dyDescent="0.25">
      <c r="A321" t="s">
        <v>173</v>
      </c>
      <c r="B321">
        <v>2302</v>
      </c>
      <c r="C321">
        <v>6</v>
      </c>
      <c r="D321" t="s">
        <v>144</v>
      </c>
      <c r="E321" t="s">
        <v>174</v>
      </c>
      <c r="F321">
        <v>5520</v>
      </c>
      <c r="G321">
        <v>0</v>
      </c>
      <c r="H321">
        <v>0</v>
      </c>
      <c r="I321">
        <v>552</v>
      </c>
      <c r="J321">
        <v>0</v>
      </c>
      <c r="K321">
        <v>6</v>
      </c>
      <c r="L321">
        <v>8</v>
      </c>
      <c r="M321">
        <v>0</v>
      </c>
      <c r="N321">
        <v>2480</v>
      </c>
      <c r="O321">
        <v>2550</v>
      </c>
      <c r="P321">
        <v>3100</v>
      </c>
      <c r="Q321">
        <v>0</v>
      </c>
      <c r="R321">
        <v>0</v>
      </c>
      <c r="S321">
        <v>48340</v>
      </c>
      <c r="T321">
        <v>23025</v>
      </c>
      <c r="U321" t="s">
        <v>146</v>
      </c>
      <c r="V321" t="s">
        <v>147</v>
      </c>
      <c r="W321" t="s">
        <v>148</v>
      </c>
      <c r="X321" t="s">
        <v>149</v>
      </c>
      <c r="Y321">
        <v>0</v>
      </c>
    </row>
    <row r="322" spans="1:25" x14ac:dyDescent="0.25">
      <c r="A322" t="s">
        <v>173</v>
      </c>
      <c r="B322">
        <v>2302</v>
      </c>
      <c r="C322">
        <v>7</v>
      </c>
      <c r="D322" t="s">
        <v>144</v>
      </c>
      <c r="E322" t="s">
        <v>174</v>
      </c>
      <c r="F322">
        <v>6160</v>
      </c>
      <c r="G322">
        <v>0</v>
      </c>
      <c r="H322">
        <v>0</v>
      </c>
      <c r="I322">
        <v>616</v>
      </c>
      <c r="J322">
        <v>0</v>
      </c>
      <c r="K322">
        <v>6</v>
      </c>
      <c r="L322">
        <v>8</v>
      </c>
      <c r="M322">
        <v>0</v>
      </c>
      <c r="N322">
        <v>3360</v>
      </c>
      <c r="O322">
        <v>3230</v>
      </c>
      <c r="P322">
        <v>4080</v>
      </c>
      <c r="Q322">
        <v>0</v>
      </c>
      <c r="R322">
        <v>0</v>
      </c>
      <c r="S322">
        <v>61020</v>
      </c>
      <c r="T322">
        <v>23026</v>
      </c>
      <c r="U322" t="s">
        <v>146</v>
      </c>
      <c r="V322" t="s">
        <v>147</v>
      </c>
      <c r="W322" t="s">
        <v>148</v>
      </c>
      <c r="X322" t="s">
        <v>149</v>
      </c>
      <c r="Y322">
        <v>0</v>
      </c>
    </row>
    <row r="323" spans="1:25" x14ac:dyDescent="0.25">
      <c r="A323" t="s">
        <v>173</v>
      </c>
      <c r="B323">
        <v>2302</v>
      </c>
      <c r="C323">
        <v>8</v>
      </c>
      <c r="D323" t="s">
        <v>144</v>
      </c>
      <c r="E323" t="s">
        <v>174</v>
      </c>
      <c r="F323">
        <v>6800</v>
      </c>
      <c r="G323">
        <v>0</v>
      </c>
      <c r="H323">
        <v>0</v>
      </c>
      <c r="I323">
        <v>680</v>
      </c>
      <c r="J323">
        <v>0</v>
      </c>
      <c r="K323">
        <v>6</v>
      </c>
      <c r="L323">
        <v>8</v>
      </c>
      <c r="M323">
        <v>0</v>
      </c>
      <c r="N323">
        <v>4400</v>
      </c>
      <c r="O323">
        <v>4020</v>
      </c>
      <c r="P323">
        <v>5310</v>
      </c>
      <c r="Q323">
        <v>0</v>
      </c>
      <c r="R323">
        <v>0</v>
      </c>
      <c r="S323">
        <v>76500</v>
      </c>
      <c r="T323">
        <v>23027</v>
      </c>
      <c r="U323" t="s">
        <v>146</v>
      </c>
      <c r="V323" t="s">
        <v>147</v>
      </c>
      <c r="W323" t="s">
        <v>148</v>
      </c>
      <c r="X323" t="s">
        <v>149</v>
      </c>
      <c r="Y323">
        <v>0</v>
      </c>
    </row>
    <row r="324" spans="1:25" x14ac:dyDescent="0.25">
      <c r="A324" t="s">
        <v>173</v>
      </c>
      <c r="B324">
        <v>2302</v>
      </c>
      <c r="C324">
        <v>9</v>
      </c>
      <c r="D324" t="s">
        <v>144</v>
      </c>
      <c r="E324" t="s">
        <v>174</v>
      </c>
      <c r="F324">
        <v>7520</v>
      </c>
      <c r="G324">
        <v>0</v>
      </c>
      <c r="H324">
        <v>0</v>
      </c>
      <c r="I324">
        <v>752</v>
      </c>
      <c r="J324">
        <v>0</v>
      </c>
      <c r="K324">
        <v>6</v>
      </c>
      <c r="L324">
        <v>8</v>
      </c>
      <c r="M324">
        <v>0</v>
      </c>
      <c r="N324">
        <v>5600</v>
      </c>
      <c r="O324">
        <v>4950</v>
      </c>
      <c r="P324">
        <v>6870</v>
      </c>
      <c r="Q324">
        <v>0</v>
      </c>
      <c r="R324">
        <v>0</v>
      </c>
      <c r="S324">
        <v>95410</v>
      </c>
      <c r="T324">
        <v>23028</v>
      </c>
      <c r="U324" t="s">
        <v>146</v>
      </c>
      <c r="V324" t="s">
        <v>147</v>
      </c>
      <c r="W324" t="s">
        <v>148</v>
      </c>
      <c r="X324" t="s">
        <v>149</v>
      </c>
      <c r="Y324">
        <v>0</v>
      </c>
    </row>
    <row r="325" spans="1:25" x14ac:dyDescent="0.25">
      <c r="A325" t="s">
        <v>173</v>
      </c>
      <c r="B325">
        <v>2302</v>
      </c>
      <c r="C325">
        <v>10</v>
      </c>
      <c r="D325" t="s">
        <v>144</v>
      </c>
      <c r="E325" t="s">
        <v>174</v>
      </c>
      <c r="F325">
        <v>8320</v>
      </c>
      <c r="G325">
        <v>0</v>
      </c>
      <c r="H325">
        <v>0</v>
      </c>
      <c r="I325">
        <v>832</v>
      </c>
      <c r="J325">
        <v>0</v>
      </c>
      <c r="K325">
        <v>7</v>
      </c>
      <c r="L325">
        <v>9</v>
      </c>
      <c r="M325">
        <v>0</v>
      </c>
      <c r="N325">
        <v>6990</v>
      </c>
      <c r="O325">
        <v>6050</v>
      </c>
      <c r="P325">
        <v>8820</v>
      </c>
      <c r="Q325">
        <v>0</v>
      </c>
      <c r="R325">
        <v>0</v>
      </c>
      <c r="S325">
        <v>118510</v>
      </c>
      <c r="T325">
        <v>23029</v>
      </c>
      <c r="U325" t="s">
        <v>146</v>
      </c>
      <c r="V325" t="s">
        <v>147</v>
      </c>
      <c r="W325" t="s">
        <v>148</v>
      </c>
      <c r="X325" t="s">
        <v>149</v>
      </c>
      <c r="Y325">
        <v>0</v>
      </c>
    </row>
    <row r="327" spans="1:25" x14ac:dyDescent="0.25">
      <c r="A327" t="s">
        <v>203</v>
      </c>
      <c r="B327" t="s">
        <v>201</v>
      </c>
      <c r="C327">
        <v>10</v>
      </c>
      <c r="K327" t="s">
        <v>1</v>
      </c>
      <c r="L327" t="s">
        <v>2</v>
      </c>
      <c r="M327" t="s">
        <v>194</v>
      </c>
      <c r="N327" t="s">
        <v>204</v>
      </c>
      <c r="O327" t="s">
        <v>205</v>
      </c>
    </row>
    <row r="328" spans="1:25" x14ac:dyDescent="0.25">
      <c r="A328" t="s">
        <v>203</v>
      </c>
      <c r="B328" t="s">
        <v>202</v>
      </c>
      <c r="C328">
        <v>6</v>
      </c>
      <c r="H328" t="s">
        <v>132</v>
      </c>
      <c r="K328">
        <v>0</v>
      </c>
      <c r="L328">
        <v>0</v>
      </c>
      <c r="M328">
        <v>0</v>
      </c>
    </row>
    <row r="329" spans="1:25" x14ac:dyDescent="0.25">
      <c r="A329" t="s">
        <v>203</v>
      </c>
      <c r="B329" t="s">
        <v>128</v>
      </c>
      <c r="C329" t="s">
        <v>120</v>
      </c>
      <c r="H329" t="s">
        <v>133</v>
      </c>
      <c r="K329">
        <v>0.15</v>
      </c>
      <c r="L329">
        <v>750</v>
      </c>
      <c r="M329">
        <v>11170</v>
      </c>
    </row>
    <row r="330" spans="1:25" x14ac:dyDescent="0.25">
      <c r="A330" t="s">
        <v>203</v>
      </c>
      <c r="H330" t="s">
        <v>198</v>
      </c>
      <c r="K330">
        <v>0.14000000000000001</v>
      </c>
      <c r="L330">
        <v>1100</v>
      </c>
      <c r="M330">
        <v>13670</v>
      </c>
    </row>
    <row r="331" spans="1:25" x14ac:dyDescent="0.25">
      <c r="A331" t="s">
        <v>203</v>
      </c>
      <c r="H331" t="s">
        <v>135</v>
      </c>
      <c r="K331">
        <v>0.05</v>
      </c>
      <c r="L331">
        <v>-2</v>
      </c>
      <c r="M331">
        <v>10000</v>
      </c>
    </row>
    <row r="332" spans="1:25" x14ac:dyDescent="0.25">
      <c r="A332" t="s">
        <v>203</v>
      </c>
      <c r="H332" t="s">
        <v>136</v>
      </c>
      <c r="K332">
        <v>0</v>
      </c>
      <c r="L332">
        <v>0</v>
      </c>
      <c r="M332">
        <v>0</v>
      </c>
    </row>
    <row r="333" spans="1:25" x14ac:dyDescent="0.25">
      <c r="A333" t="s">
        <v>203</v>
      </c>
      <c r="H333" t="s">
        <v>69</v>
      </c>
      <c r="K333">
        <v>7.0000000000000007E-2</v>
      </c>
      <c r="L333">
        <v>48600</v>
      </c>
      <c r="M333">
        <v>156590</v>
      </c>
      <c r="N333" s="13" t="s">
        <v>76</v>
      </c>
      <c r="O333" s="13" t="s">
        <v>235</v>
      </c>
    </row>
    <row r="334" spans="1:25" x14ac:dyDescent="0.25">
      <c r="L334" s="3"/>
      <c r="M334" s="3"/>
    </row>
    <row r="335" spans="1:25" x14ac:dyDescent="0.25">
      <c r="A335" t="s">
        <v>175</v>
      </c>
      <c r="B335">
        <v>2303</v>
      </c>
      <c r="C335">
        <v>0</v>
      </c>
      <c r="D335" t="s">
        <v>144</v>
      </c>
      <c r="E335" t="s">
        <v>145</v>
      </c>
      <c r="F335">
        <v>500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 t="s">
        <v>146</v>
      </c>
      <c r="V335" t="s">
        <v>147</v>
      </c>
      <c r="W335" t="s">
        <v>148</v>
      </c>
      <c r="X335" t="s">
        <v>149</v>
      </c>
      <c r="Y335">
        <v>0</v>
      </c>
    </row>
    <row r="336" spans="1:25" x14ac:dyDescent="0.25">
      <c r="A336" t="s">
        <v>175</v>
      </c>
      <c r="B336">
        <v>2303</v>
      </c>
      <c r="C336">
        <v>1</v>
      </c>
      <c r="D336" t="s">
        <v>144</v>
      </c>
      <c r="E336" t="s">
        <v>176</v>
      </c>
      <c r="F336">
        <v>4080</v>
      </c>
      <c r="G336">
        <v>0</v>
      </c>
      <c r="H336">
        <v>0</v>
      </c>
      <c r="I336">
        <v>408</v>
      </c>
      <c r="J336">
        <v>0</v>
      </c>
      <c r="K336">
        <v>5</v>
      </c>
      <c r="L336">
        <v>7</v>
      </c>
      <c r="M336">
        <v>0</v>
      </c>
      <c r="N336">
        <v>0</v>
      </c>
      <c r="O336">
        <v>750</v>
      </c>
      <c r="P336">
        <v>1100</v>
      </c>
      <c r="Q336">
        <v>0</v>
      </c>
      <c r="R336">
        <v>0</v>
      </c>
      <c r="S336">
        <v>48600</v>
      </c>
      <c r="T336">
        <v>23030</v>
      </c>
      <c r="U336" t="s">
        <v>146</v>
      </c>
      <c r="V336" t="s">
        <v>147</v>
      </c>
      <c r="W336" t="s">
        <v>148</v>
      </c>
      <c r="X336" t="s">
        <v>149</v>
      </c>
      <c r="Y336">
        <v>0</v>
      </c>
    </row>
    <row r="337" spans="1:25" x14ac:dyDescent="0.25">
      <c r="A337" t="s">
        <v>175</v>
      </c>
      <c r="B337">
        <v>2303</v>
      </c>
      <c r="C337">
        <v>2</v>
      </c>
      <c r="D337" t="s">
        <v>144</v>
      </c>
      <c r="E337" t="s">
        <v>176</v>
      </c>
      <c r="F337">
        <v>4480</v>
      </c>
      <c r="G337">
        <v>0</v>
      </c>
      <c r="H337">
        <v>0</v>
      </c>
      <c r="I337">
        <v>448</v>
      </c>
      <c r="J337">
        <v>0</v>
      </c>
      <c r="K337">
        <v>5</v>
      </c>
      <c r="L337">
        <v>7</v>
      </c>
      <c r="M337">
        <v>0</v>
      </c>
      <c r="N337">
        <v>0</v>
      </c>
      <c r="O337">
        <v>1250</v>
      </c>
      <c r="P337">
        <v>1730</v>
      </c>
      <c r="Q337">
        <v>0</v>
      </c>
      <c r="R337">
        <v>0</v>
      </c>
      <c r="S337">
        <v>56520</v>
      </c>
      <c r="T337">
        <v>23031</v>
      </c>
      <c r="U337" t="s">
        <v>146</v>
      </c>
      <c r="V337" t="s">
        <v>147</v>
      </c>
      <c r="W337" t="s">
        <v>148</v>
      </c>
      <c r="X337" t="s">
        <v>149</v>
      </c>
      <c r="Y337">
        <v>0</v>
      </c>
    </row>
    <row r="338" spans="1:25" x14ac:dyDescent="0.25">
      <c r="A338" t="s">
        <v>175</v>
      </c>
      <c r="B338">
        <v>2303</v>
      </c>
      <c r="C338">
        <v>3</v>
      </c>
      <c r="D338" t="s">
        <v>144</v>
      </c>
      <c r="E338" t="s">
        <v>176</v>
      </c>
      <c r="F338">
        <v>4960</v>
      </c>
      <c r="G338">
        <v>0</v>
      </c>
      <c r="H338">
        <v>0</v>
      </c>
      <c r="I338">
        <v>496</v>
      </c>
      <c r="J338">
        <v>0</v>
      </c>
      <c r="K338">
        <v>5</v>
      </c>
      <c r="L338">
        <v>7</v>
      </c>
      <c r="M338">
        <v>0</v>
      </c>
      <c r="N338">
        <v>0</v>
      </c>
      <c r="O338">
        <v>1830</v>
      </c>
      <c r="P338">
        <v>2450</v>
      </c>
      <c r="Q338">
        <v>340</v>
      </c>
      <c r="R338">
        <v>0</v>
      </c>
      <c r="S338">
        <v>65020</v>
      </c>
      <c r="T338">
        <v>23032</v>
      </c>
      <c r="U338" t="s">
        <v>146</v>
      </c>
      <c r="V338" t="s">
        <v>147</v>
      </c>
      <c r="W338" t="s">
        <v>148</v>
      </c>
      <c r="X338" t="s">
        <v>149</v>
      </c>
      <c r="Y338">
        <v>0</v>
      </c>
    </row>
    <row r="339" spans="1:25" x14ac:dyDescent="0.25">
      <c r="A339" t="s">
        <v>175</v>
      </c>
      <c r="B339">
        <v>2303</v>
      </c>
      <c r="C339">
        <v>4</v>
      </c>
      <c r="D339" t="s">
        <v>144</v>
      </c>
      <c r="E339" t="s">
        <v>176</v>
      </c>
      <c r="F339">
        <v>5520</v>
      </c>
      <c r="G339">
        <v>0</v>
      </c>
      <c r="H339">
        <v>0</v>
      </c>
      <c r="I339">
        <v>552</v>
      </c>
      <c r="J339">
        <v>0</v>
      </c>
      <c r="K339">
        <v>5</v>
      </c>
      <c r="L339">
        <v>7</v>
      </c>
      <c r="M339">
        <v>0</v>
      </c>
      <c r="N339">
        <v>0</v>
      </c>
      <c r="O339">
        <v>2510</v>
      </c>
      <c r="P339">
        <v>3290</v>
      </c>
      <c r="Q339">
        <v>700</v>
      </c>
      <c r="R339">
        <v>0</v>
      </c>
      <c r="S339">
        <v>74140</v>
      </c>
      <c r="T339">
        <v>23033</v>
      </c>
      <c r="U339" t="s">
        <v>146</v>
      </c>
      <c r="V339" t="s">
        <v>147</v>
      </c>
      <c r="W339" t="s">
        <v>148</v>
      </c>
      <c r="X339" t="s">
        <v>149</v>
      </c>
      <c r="Y339">
        <v>0</v>
      </c>
    </row>
    <row r="340" spans="1:25" x14ac:dyDescent="0.25">
      <c r="A340" t="s">
        <v>175</v>
      </c>
      <c r="B340">
        <v>2303</v>
      </c>
      <c r="C340">
        <v>5</v>
      </c>
      <c r="D340" t="s">
        <v>144</v>
      </c>
      <c r="E340" t="s">
        <v>176</v>
      </c>
      <c r="F340">
        <v>6000</v>
      </c>
      <c r="G340">
        <v>0</v>
      </c>
      <c r="H340">
        <v>0</v>
      </c>
      <c r="I340">
        <v>600</v>
      </c>
      <c r="J340">
        <v>0</v>
      </c>
      <c r="K340">
        <v>5</v>
      </c>
      <c r="L340">
        <v>7</v>
      </c>
      <c r="M340">
        <v>0</v>
      </c>
      <c r="N340">
        <v>0</v>
      </c>
      <c r="O340">
        <v>3290</v>
      </c>
      <c r="P340">
        <v>4240</v>
      </c>
      <c r="Q340">
        <v>1080</v>
      </c>
      <c r="R340">
        <v>0</v>
      </c>
      <c r="S340">
        <v>83910</v>
      </c>
      <c r="T340">
        <v>23034</v>
      </c>
      <c r="U340" t="s">
        <v>146</v>
      </c>
      <c r="V340" t="s">
        <v>147</v>
      </c>
      <c r="W340" t="s">
        <v>148</v>
      </c>
      <c r="X340" t="s">
        <v>149</v>
      </c>
      <c r="Y340">
        <v>0</v>
      </c>
    </row>
    <row r="341" spans="1:25" x14ac:dyDescent="0.25">
      <c r="A341" t="s">
        <v>175</v>
      </c>
      <c r="B341">
        <v>2303</v>
      </c>
      <c r="C341">
        <v>6</v>
      </c>
      <c r="D341" t="s">
        <v>144</v>
      </c>
      <c r="E341" t="s">
        <v>176</v>
      </c>
      <c r="F341">
        <v>6560</v>
      </c>
      <c r="G341">
        <v>0</v>
      </c>
      <c r="H341">
        <v>0</v>
      </c>
      <c r="I341">
        <v>656</v>
      </c>
      <c r="J341">
        <v>0</v>
      </c>
      <c r="K341">
        <v>6</v>
      </c>
      <c r="L341">
        <v>8</v>
      </c>
      <c r="M341">
        <v>0</v>
      </c>
      <c r="N341">
        <v>0</v>
      </c>
      <c r="O341">
        <v>4200</v>
      </c>
      <c r="P341">
        <v>5350</v>
      </c>
      <c r="Q341">
        <v>1480</v>
      </c>
      <c r="R341">
        <v>0</v>
      </c>
      <c r="S341">
        <v>94400</v>
      </c>
      <c r="T341">
        <v>23035</v>
      </c>
      <c r="U341" t="s">
        <v>146</v>
      </c>
      <c r="V341" t="s">
        <v>147</v>
      </c>
      <c r="W341" t="s">
        <v>148</v>
      </c>
      <c r="X341" t="s">
        <v>149</v>
      </c>
      <c r="Y341">
        <v>0</v>
      </c>
    </row>
    <row r="342" spans="1:25" x14ac:dyDescent="0.25">
      <c r="A342" t="s">
        <v>175</v>
      </c>
      <c r="B342">
        <v>2303</v>
      </c>
      <c r="C342">
        <v>7</v>
      </c>
      <c r="D342" t="s">
        <v>144</v>
      </c>
      <c r="E342" t="s">
        <v>176</v>
      </c>
      <c r="F342">
        <v>7200</v>
      </c>
      <c r="G342">
        <v>0</v>
      </c>
      <c r="H342">
        <v>0</v>
      </c>
      <c r="I342">
        <v>720</v>
      </c>
      <c r="J342">
        <v>0</v>
      </c>
      <c r="K342">
        <v>6</v>
      </c>
      <c r="L342">
        <v>8</v>
      </c>
      <c r="M342">
        <v>0</v>
      </c>
      <c r="N342">
        <v>0</v>
      </c>
      <c r="O342">
        <v>5260</v>
      </c>
      <c r="P342">
        <v>6620</v>
      </c>
      <c r="Q342">
        <v>1900</v>
      </c>
      <c r="R342">
        <v>0</v>
      </c>
      <c r="S342">
        <v>105640</v>
      </c>
      <c r="T342">
        <v>23036</v>
      </c>
      <c r="U342" t="s">
        <v>146</v>
      </c>
      <c r="V342" t="s">
        <v>147</v>
      </c>
      <c r="W342" t="s">
        <v>148</v>
      </c>
      <c r="X342" t="s">
        <v>149</v>
      </c>
      <c r="Y342">
        <v>0</v>
      </c>
    </row>
    <row r="343" spans="1:25" x14ac:dyDescent="0.25">
      <c r="A343" t="s">
        <v>175</v>
      </c>
      <c r="B343">
        <v>2303</v>
      </c>
      <c r="C343">
        <v>8</v>
      </c>
      <c r="D343" t="s">
        <v>144</v>
      </c>
      <c r="E343" t="s">
        <v>176</v>
      </c>
      <c r="F343">
        <v>7840</v>
      </c>
      <c r="G343">
        <v>0</v>
      </c>
      <c r="H343">
        <v>0</v>
      </c>
      <c r="I343">
        <v>784</v>
      </c>
      <c r="J343">
        <v>0</v>
      </c>
      <c r="K343">
        <v>6</v>
      </c>
      <c r="L343">
        <v>8</v>
      </c>
      <c r="M343">
        <v>0</v>
      </c>
      <c r="N343">
        <v>0</v>
      </c>
      <c r="O343">
        <v>6490</v>
      </c>
      <c r="P343">
        <v>8070</v>
      </c>
      <c r="Q343">
        <v>2350</v>
      </c>
      <c r="R343">
        <v>0</v>
      </c>
      <c r="S343">
        <v>117700</v>
      </c>
      <c r="T343">
        <v>23037</v>
      </c>
      <c r="U343" t="s">
        <v>146</v>
      </c>
      <c r="V343" t="s">
        <v>147</v>
      </c>
      <c r="W343" t="s">
        <v>148</v>
      </c>
      <c r="X343" t="s">
        <v>149</v>
      </c>
      <c r="Y343">
        <v>0</v>
      </c>
    </row>
    <row r="344" spans="1:25" x14ac:dyDescent="0.25">
      <c r="A344" t="s">
        <v>175</v>
      </c>
      <c r="B344">
        <v>2303</v>
      </c>
      <c r="C344">
        <v>9</v>
      </c>
      <c r="D344" t="s">
        <v>144</v>
      </c>
      <c r="E344" t="s">
        <v>176</v>
      </c>
      <c r="F344">
        <v>8560</v>
      </c>
      <c r="G344">
        <v>0</v>
      </c>
      <c r="H344">
        <v>0</v>
      </c>
      <c r="I344">
        <v>856</v>
      </c>
      <c r="J344">
        <v>0</v>
      </c>
      <c r="K344">
        <v>6</v>
      </c>
      <c r="L344">
        <v>8</v>
      </c>
      <c r="M344">
        <v>0</v>
      </c>
      <c r="N344">
        <v>0</v>
      </c>
      <c r="O344">
        <v>7920</v>
      </c>
      <c r="P344">
        <v>9750</v>
      </c>
      <c r="Q344">
        <v>2810</v>
      </c>
      <c r="R344">
        <v>0</v>
      </c>
      <c r="S344">
        <v>130640</v>
      </c>
      <c r="T344">
        <v>23038</v>
      </c>
      <c r="U344" t="s">
        <v>146</v>
      </c>
      <c r="V344" t="s">
        <v>147</v>
      </c>
      <c r="W344" t="s">
        <v>148</v>
      </c>
      <c r="X344" t="s">
        <v>149</v>
      </c>
      <c r="Y344">
        <v>0</v>
      </c>
    </row>
    <row r="345" spans="1:25" x14ac:dyDescent="0.25">
      <c r="A345" t="s">
        <v>175</v>
      </c>
      <c r="B345">
        <v>2303</v>
      </c>
      <c r="C345">
        <v>10</v>
      </c>
      <c r="D345" t="s">
        <v>144</v>
      </c>
      <c r="E345" t="s">
        <v>176</v>
      </c>
      <c r="F345">
        <v>9360</v>
      </c>
      <c r="G345">
        <v>0</v>
      </c>
      <c r="H345">
        <v>0</v>
      </c>
      <c r="I345">
        <v>936</v>
      </c>
      <c r="J345">
        <v>0</v>
      </c>
      <c r="K345">
        <v>7</v>
      </c>
      <c r="L345">
        <v>9</v>
      </c>
      <c r="M345">
        <v>0</v>
      </c>
      <c r="N345">
        <v>0</v>
      </c>
      <c r="O345">
        <v>9580</v>
      </c>
      <c r="P345">
        <v>11680</v>
      </c>
      <c r="Q345">
        <v>3300</v>
      </c>
      <c r="R345">
        <v>0</v>
      </c>
      <c r="S345">
        <v>144510</v>
      </c>
      <c r="T345">
        <v>23039</v>
      </c>
      <c r="U345" t="s">
        <v>146</v>
      </c>
      <c r="V345" t="s">
        <v>147</v>
      </c>
      <c r="W345" t="s">
        <v>148</v>
      </c>
      <c r="X345" t="s">
        <v>149</v>
      </c>
      <c r="Y345">
        <v>0</v>
      </c>
    </row>
    <row r="347" spans="1:25" x14ac:dyDescent="0.25">
      <c r="A347" t="s">
        <v>203</v>
      </c>
      <c r="B347" t="s">
        <v>201</v>
      </c>
      <c r="C347">
        <v>10</v>
      </c>
      <c r="K347" t="s">
        <v>1</v>
      </c>
      <c r="L347" t="s">
        <v>2</v>
      </c>
      <c r="M347" t="s">
        <v>194</v>
      </c>
      <c r="N347" t="s">
        <v>204</v>
      </c>
      <c r="O347" t="s">
        <v>205</v>
      </c>
    </row>
    <row r="348" spans="1:25" x14ac:dyDescent="0.25">
      <c r="A348" t="s">
        <v>203</v>
      </c>
      <c r="B348" t="s">
        <v>202</v>
      </c>
      <c r="C348">
        <v>2</v>
      </c>
      <c r="H348" t="s">
        <v>132</v>
      </c>
      <c r="K348">
        <v>0.1</v>
      </c>
      <c r="L348">
        <v>-3</v>
      </c>
      <c r="M348">
        <v>5000</v>
      </c>
    </row>
    <row r="349" spans="1:25" x14ac:dyDescent="0.25">
      <c r="A349" t="s">
        <v>203</v>
      </c>
      <c r="B349" t="s">
        <v>128</v>
      </c>
      <c r="C349" t="s">
        <v>121</v>
      </c>
      <c r="H349" t="s">
        <v>133</v>
      </c>
      <c r="K349">
        <v>0.21</v>
      </c>
      <c r="L349">
        <v>200</v>
      </c>
      <c r="M349">
        <v>3000</v>
      </c>
    </row>
    <row r="350" spans="1:25" x14ac:dyDescent="0.25">
      <c r="A350" t="s">
        <v>203</v>
      </c>
      <c r="H350" t="s">
        <v>198</v>
      </c>
      <c r="K350">
        <v>0.2</v>
      </c>
      <c r="L350">
        <v>320</v>
      </c>
      <c r="M350">
        <v>11000</v>
      </c>
    </row>
    <row r="351" spans="1:25" x14ac:dyDescent="0.25">
      <c r="A351" t="s">
        <v>203</v>
      </c>
      <c r="H351" t="s">
        <v>135</v>
      </c>
      <c r="K351">
        <v>0</v>
      </c>
      <c r="L351">
        <v>0</v>
      </c>
      <c r="M351">
        <v>0</v>
      </c>
    </row>
    <row r="352" spans="1:25" x14ac:dyDescent="0.25">
      <c r="A352" t="s">
        <v>203</v>
      </c>
      <c r="H352" t="s">
        <v>136</v>
      </c>
      <c r="K352">
        <v>0</v>
      </c>
      <c r="L352">
        <v>0</v>
      </c>
      <c r="M352">
        <v>0</v>
      </c>
    </row>
    <row r="353" spans="1:25" x14ac:dyDescent="0.25">
      <c r="A353" t="s">
        <v>203</v>
      </c>
      <c r="H353" t="s">
        <v>69</v>
      </c>
      <c r="K353">
        <v>0.15</v>
      </c>
      <c r="L353">
        <v>24150</v>
      </c>
      <c r="M353">
        <v>115270</v>
      </c>
      <c r="N353" s="13" t="s">
        <v>236</v>
      </c>
      <c r="O353" s="13" t="s">
        <v>234</v>
      </c>
    </row>
    <row r="354" spans="1:25" x14ac:dyDescent="0.25">
      <c r="L354" s="3"/>
      <c r="M354" s="3"/>
    </row>
    <row r="355" spans="1:25" x14ac:dyDescent="0.25">
      <c r="A355" t="s">
        <v>177</v>
      </c>
      <c r="B355">
        <v>2402</v>
      </c>
      <c r="C355">
        <v>0</v>
      </c>
      <c r="D355" t="s">
        <v>144</v>
      </c>
      <c r="E355" t="s">
        <v>145</v>
      </c>
      <c r="F355">
        <v>500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 t="s">
        <v>178</v>
      </c>
      <c r="V355" t="s">
        <v>147</v>
      </c>
      <c r="W355" t="s">
        <v>179</v>
      </c>
      <c r="X355" t="s">
        <v>149</v>
      </c>
      <c r="Y355">
        <v>0</v>
      </c>
    </row>
    <row r="356" spans="1:25" x14ac:dyDescent="0.25">
      <c r="A356" t="s">
        <v>177</v>
      </c>
      <c r="B356">
        <v>2402</v>
      </c>
      <c r="C356">
        <v>1</v>
      </c>
      <c r="D356" t="s">
        <v>144</v>
      </c>
      <c r="E356" t="s">
        <v>180</v>
      </c>
      <c r="F356">
        <v>2500</v>
      </c>
      <c r="G356">
        <v>0</v>
      </c>
      <c r="H356">
        <v>0</v>
      </c>
      <c r="I356">
        <v>625</v>
      </c>
      <c r="J356">
        <v>2</v>
      </c>
      <c r="K356">
        <v>2</v>
      </c>
      <c r="L356">
        <v>8</v>
      </c>
      <c r="M356">
        <v>0</v>
      </c>
      <c r="N356">
        <v>0</v>
      </c>
      <c r="O356">
        <v>200</v>
      </c>
      <c r="P356">
        <v>320</v>
      </c>
      <c r="Q356">
        <v>0</v>
      </c>
      <c r="R356">
        <v>0</v>
      </c>
      <c r="S356">
        <v>24150</v>
      </c>
      <c r="T356">
        <v>24021</v>
      </c>
      <c r="U356" t="s">
        <v>178</v>
      </c>
      <c r="V356" t="s">
        <v>147</v>
      </c>
      <c r="W356" t="s">
        <v>179</v>
      </c>
      <c r="X356" t="s">
        <v>149</v>
      </c>
      <c r="Y356">
        <v>0</v>
      </c>
    </row>
    <row r="357" spans="1:25" x14ac:dyDescent="0.25">
      <c r="A357" t="s">
        <v>177</v>
      </c>
      <c r="B357">
        <v>2402</v>
      </c>
      <c r="C357">
        <v>2</v>
      </c>
      <c r="D357" t="s">
        <v>144</v>
      </c>
      <c r="E357" t="s">
        <v>180</v>
      </c>
      <c r="F357">
        <v>3000</v>
      </c>
      <c r="G357">
        <v>0</v>
      </c>
      <c r="H357">
        <v>0</v>
      </c>
      <c r="I357">
        <v>750</v>
      </c>
      <c r="J357">
        <v>2</v>
      </c>
      <c r="K357">
        <v>2</v>
      </c>
      <c r="L357">
        <v>8</v>
      </c>
      <c r="M357">
        <v>0</v>
      </c>
      <c r="N357">
        <v>0</v>
      </c>
      <c r="O357">
        <v>310</v>
      </c>
      <c r="P357">
        <v>730</v>
      </c>
      <c r="Q357">
        <v>0</v>
      </c>
      <c r="R357">
        <v>0</v>
      </c>
      <c r="S357">
        <v>30000</v>
      </c>
      <c r="T357">
        <v>24021</v>
      </c>
      <c r="U357" t="s">
        <v>178</v>
      </c>
      <c r="V357" t="s">
        <v>147</v>
      </c>
      <c r="W357" t="s">
        <v>179</v>
      </c>
      <c r="X357" t="s">
        <v>149</v>
      </c>
      <c r="Y357">
        <v>0</v>
      </c>
    </row>
    <row r="358" spans="1:25" x14ac:dyDescent="0.25">
      <c r="A358" t="s">
        <v>177</v>
      </c>
      <c r="B358">
        <v>2402</v>
      </c>
      <c r="C358">
        <v>3</v>
      </c>
      <c r="D358" t="s">
        <v>144</v>
      </c>
      <c r="E358" t="s">
        <v>180</v>
      </c>
      <c r="F358">
        <v>3600</v>
      </c>
      <c r="G358">
        <v>0</v>
      </c>
      <c r="H358">
        <v>0</v>
      </c>
      <c r="I358">
        <v>900</v>
      </c>
      <c r="J358">
        <v>2</v>
      </c>
      <c r="K358">
        <v>2</v>
      </c>
      <c r="L358">
        <v>8</v>
      </c>
      <c r="M358">
        <v>0</v>
      </c>
      <c r="N358">
        <v>0</v>
      </c>
      <c r="O358">
        <v>450</v>
      </c>
      <c r="P358">
        <v>1240</v>
      </c>
      <c r="Q358">
        <v>0</v>
      </c>
      <c r="R358">
        <v>0</v>
      </c>
      <c r="S358">
        <v>36800</v>
      </c>
      <c r="T358">
        <v>24021</v>
      </c>
      <c r="U358" t="s">
        <v>178</v>
      </c>
      <c r="V358" t="s">
        <v>147</v>
      </c>
      <c r="W358" t="s">
        <v>179</v>
      </c>
      <c r="X358" t="s">
        <v>149</v>
      </c>
      <c r="Y358">
        <v>0</v>
      </c>
    </row>
    <row r="359" spans="1:25" x14ac:dyDescent="0.25">
      <c r="A359" t="s">
        <v>177</v>
      </c>
      <c r="B359">
        <v>2402</v>
      </c>
      <c r="C359">
        <v>4</v>
      </c>
      <c r="D359" t="s">
        <v>144</v>
      </c>
      <c r="E359" t="s">
        <v>180</v>
      </c>
      <c r="F359">
        <v>4300</v>
      </c>
      <c r="G359">
        <v>0</v>
      </c>
      <c r="H359">
        <v>0</v>
      </c>
      <c r="I359">
        <v>1075</v>
      </c>
      <c r="J359">
        <v>3</v>
      </c>
      <c r="K359">
        <v>2</v>
      </c>
      <c r="L359">
        <v>8</v>
      </c>
      <c r="M359">
        <v>0</v>
      </c>
      <c r="N359">
        <v>260</v>
      </c>
      <c r="O359">
        <v>620</v>
      </c>
      <c r="P359">
        <v>1860</v>
      </c>
      <c r="Q359">
        <v>0</v>
      </c>
      <c r="R359">
        <v>0</v>
      </c>
      <c r="S359">
        <v>44690</v>
      </c>
      <c r="T359">
        <v>24021</v>
      </c>
      <c r="U359" t="s">
        <v>178</v>
      </c>
      <c r="V359" t="s">
        <v>147</v>
      </c>
      <c r="W359" t="s">
        <v>179</v>
      </c>
      <c r="X359" t="s">
        <v>149</v>
      </c>
      <c r="Y359">
        <v>0</v>
      </c>
    </row>
    <row r="360" spans="1:25" x14ac:dyDescent="0.25">
      <c r="A360" t="s">
        <v>177</v>
      </c>
      <c r="B360">
        <v>2402</v>
      </c>
      <c r="C360">
        <v>5</v>
      </c>
      <c r="D360" t="s">
        <v>144</v>
      </c>
      <c r="E360" t="s">
        <v>180</v>
      </c>
      <c r="F360">
        <v>4900</v>
      </c>
      <c r="G360">
        <v>0</v>
      </c>
      <c r="H360">
        <v>0</v>
      </c>
      <c r="I360">
        <v>1225</v>
      </c>
      <c r="J360">
        <v>3</v>
      </c>
      <c r="K360">
        <v>2</v>
      </c>
      <c r="L360">
        <v>8</v>
      </c>
      <c r="M360">
        <v>0</v>
      </c>
      <c r="N360">
        <v>550</v>
      </c>
      <c r="O360">
        <v>840</v>
      </c>
      <c r="P360">
        <v>2610</v>
      </c>
      <c r="Q360">
        <v>0</v>
      </c>
      <c r="R360">
        <v>0</v>
      </c>
      <c r="S360">
        <v>53860</v>
      </c>
      <c r="T360">
        <v>24022</v>
      </c>
      <c r="U360" t="s">
        <v>178</v>
      </c>
      <c r="V360" t="s">
        <v>147</v>
      </c>
      <c r="W360" t="s">
        <v>179</v>
      </c>
      <c r="X360" t="s">
        <v>149</v>
      </c>
      <c r="Y360">
        <v>0</v>
      </c>
    </row>
    <row r="361" spans="1:25" x14ac:dyDescent="0.25">
      <c r="A361" t="s">
        <v>177</v>
      </c>
      <c r="B361">
        <v>2402</v>
      </c>
      <c r="C361">
        <v>6</v>
      </c>
      <c r="D361" t="s">
        <v>144</v>
      </c>
      <c r="E361" t="s">
        <v>180</v>
      </c>
      <c r="F361">
        <v>5600</v>
      </c>
      <c r="G361">
        <v>0</v>
      </c>
      <c r="H361">
        <v>0</v>
      </c>
      <c r="I361">
        <v>1400</v>
      </c>
      <c r="J361">
        <v>3</v>
      </c>
      <c r="K361">
        <v>3</v>
      </c>
      <c r="L361">
        <v>9</v>
      </c>
      <c r="M361">
        <v>0</v>
      </c>
      <c r="N361">
        <v>870</v>
      </c>
      <c r="O361">
        <v>1100</v>
      </c>
      <c r="P361">
        <v>3540</v>
      </c>
      <c r="Q361">
        <v>0</v>
      </c>
      <c r="R361">
        <v>0</v>
      </c>
      <c r="S361">
        <v>64520</v>
      </c>
      <c r="T361">
        <v>24022</v>
      </c>
      <c r="U361" t="s">
        <v>178</v>
      </c>
      <c r="V361" t="s">
        <v>147</v>
      </c>
      <c r="W361" t="s">
        <v>179</v>
      </c>
      <c r="X361" t="s">
        <v>149</v>
      </c>
      <c r="Y361">
        <v>0</v>
      </c>
    </row>
    <row r="362" spans="1:25" x14ac:dyDescent="0.25">
      <c r="A362" t="s">
        <v>177</v>
      </c>
      <c r="B362">
        <v>2402</v>
      </c>
      <c r="C362">
        <v>7</v>
      </c>
      <c r="D362" t="s">
        <v>144</v>
      </c>
      <c r="E362" t="s">
        <v>180</v>
      </c>
      <c r="F362">
        <v>6400</v>
      </c>
      <c r="G362">
        <v>0</v>
      </c>
      <c r="H362">
        <v>0</v>
      </c>
      <c r="I362">
        <v>1600</v>
      </c>
      <c r="J362">
        <v>4</v>
      </c>
      <c r="K362">
        <v>3</v>
      </c>
      <c r="L362">
        <v>9</v>
      </c>
      <c r="M362">
        <v>0</v>
      </c>
      <c r="N362">
        <v>1220</v>
      </c>
      <c r="O362">
        <v>1420</v>
      </c>
      <c r="P362">
        <v>4660</v>
      </c>
      <c r="Q362">
        <v>0</v>
      </c>
      <c r="R362">
        <v>0</v>
      </c>
      <c r="S362">
        <v>76900</v>
      </c>
      <c r="T362">
        <v>24022</v>
      </c>
      <c r="U362" t="s">
        <v>178</v>
      </c>
      <c r="V362" t="s">
        <v>147</v>
      </c>
      <c r="W362" t="s">
        <v>179</v>
      </c>
      <c r="X362" t="s">
        <v>149</v>
      </c>
      <c r="Y362">
        <v>0</v>
      </c>
    </row>
    <row r="363" spans="1:25" x14ac:dyDescent="0.25">
      <c r="A363" t="s">
        <v>177</v>
      </c>
      <c r="B363">
        <v>2402</v>
      </c>
      <c r="C363">
        <v>8</v>
      </c>
      <c r="D363" t="s">
        <v>144</v>
      </c>
      <c r="E363" t="s">
        <v>180</v>
      </c>
      <c r="F363">
        <v>7200</v>
      </c>
      <c r="G363">
        <v>0</v>
      </c>
      <c r="H363">
        <v>0</v>
      </c>
      <c r="I363">
        <v>1800</v>
      </c>
      <c r="J363">
        <v>4</v>
      </c>
      <c r="K363">
        <v>3</v>
      </c>
      <c r="L363">
        <v>9</v>
      </c>
      <c r="M363">
        <v>0</v>
      </c>
      <c r="N363">
        <v>1610</v>
      </c>
      <c r="O363">
        <v>1820</v>
      </c>
      <c r="P363">
        <v>6040</v>
      </c>
      <c r="Q363">
        <v>0</v>
      </c>
      <c r="R363">
        <v>0</v>
      </c>
      <c r="S363">
        <v>91290</v>
      </c>
      <c r="T363">
        <v>24022</v>
      </c>
      <c r="U363" t="s">
        <v>178</v>
      </c>
      <c r="V363" t="s">
        <v>147</v>
      </c>
      <c r="W363" t="s">
        <v>179</v>
      </c>
      <c r="X363" t="s">
        <v>149</v>
      </c>
      <c r="Y363">
        <v>0</v>
      </c>
    </row>
    <row r="364" spans="1:25" x14ac:dyDescent="0.25">
      <c r="A364" t="s">
        <v>177</v>
      </c>
      <c r="B364">
        <v>2402</v>
      </c>
      <c r="C364">
        <v>9</v>
      </c>
      <c r="D364" t="s">
        <v>144</v>
      </c>
      <c r="E364" t="s">
        <v>180</v>
      </c>
      <c r="F364">
        <v>8100</v>
      </c>
      <c r="G364">
        <v>0</v>
      </c>
      <c r="H364">
        <v>0</v>
      </c>
      <c r="I364">
        <v>2025</v>
      </c>
      <c r="J364">
        <v>4</v>
      </c>
      <c r="K364">
        <v>3</v>
      </c>
      <c r="L364">
        <v>9</v>
      </c>
      <c r="M364">
        <v>0</v>
      </c>
      <c r="N364">
        <v>2040</v>
      </c>
      <c r="O364">
        <v>2310</v>
      </c>
      <c r="P364">
        <v>7720</v>
      </c>
      <c r="Q364">
        <v>0</v>
      </c>
      <c r="R364">
        <v>0</v>
      </c>
      <c r="S364">
        <v>108010</v>
      </c>
      <c r="T364">
        <v>24022</v>
      </c>
      <c r="U364" t="s">
        <v>178</v>
      </c>
      <c r="V364" t="s">
        <v>147</v>
      </c>
      <c r="W364" t="s">
        <v>179</v>
      </c>
      <c r="X364" t="s">
        <v>149</v>
      </c>
      <c r="Y364">
        <v>0</v>
      </c>
    </row>
    <row r="365" spans="1:25" x14ac:dyDescent="0.25">
      <c r="A365" t="s">
        <v>177</v>
      </c>
      <c r="B365">
        <v>2402</v>
      </c>
      <c r="C365">
        <v>10</v>
      </c>
      <c r="D365" t="s">
        <v>144</v>
      </c>
      <c r="E365" t="s">
        <v>180</v>
      </c>
      <c r="F365">
        <v>9100</v>
      </c>
      <c r="G365">
        <v>0</v>
      </c>
      <c r="H365">
        <v>0</v>
      </c>
      <c r="I365">
        <v>2275</v>
      </c>
      <c r="J365">
        <v>5</v>
      </c>
      <c r="K365">
        <v>4</v>
      </c>
      <c r="L365">
        <v>10</v>
      </c>
      <c r="M365">
        <v>0</v>
      </c>
      <c r="N365">
        <v>2520</v>
      </c>
      <c r="O365">
        <v>2920</v>
      </c>
      <c r="P365">
        <v>9770</v>
      </c>
      <c r="Q365">
        <v>0</v>
      </c>
      <c r="R365">
        <v>0</v>
      </c>
      <c r="S365">
        <v>127430</v>
      </c>
      <c r="T365">
        <v>24022</v>
      </c>
      <c r="U365" t="s">
        <v>178</v>
      </c>
      <c r="V365" t="s">
        <v>147</v>
      </c>
      <c r="W365" t="s">
        <v>179</v>
      </c>
      <c r="X365" t="s">
        <v>149</v>
      </c>
      <c r="Y365">
        <v>0</v>
      </c>
    </row>
    <row r="367" spans="1:25" x14ac:dyDescent="0.25">
      <c r="A367" t="s">
        <v>203</v>
      </c>
      <c r="B367" t="s">
        <v>201</v>
      </c>
      <c r="C367">
        <v>10</v>
      </c>
      <c r="K367" t="s">
        <v>1</v>
      </c>
      <c r="L367" t="s">
        <v>2</v>
      </c>
      <c r="M367" t="s">
        <v>194</v>
      </c>
      <c r="N367" t="s">
        <v>204</v>
      </c>
      <c r="O367" t="s">
        <v>205</v>
      </c>
    </row>
    <row r="368" spans="1:25" x14ac:dyDescent="0.25">
      <c r="A368" t="s">
        <v>203</v>
      </c>
      <c r="B368" t="s">
        <v>202</v>
      </c>
      <c r="C368">
        <v>6</v>
      </c>
      <c r="H368" t="s">
        <v>132</v>
      </c>
      <c r="K368">
        <v>0.15</v>
      </c>
      <c r="L368">
        <v>350</v>
      </c>
      <c r="M368">
        <v>2000</v>
      </c>
    </row>
    <row r="369" spans="1:25" x14ac:dyDescent="0.25">
      <c r="A369" t="s">
        <v>203</v>
      </c>
      <c r="B369" t="s">
        <v>128</v>
      </c>
      <c r="C369" t="s">
        <v>121</v>
      </c>
      <c r="H369" t="s">
        <v>133</v>
      </c>
      <c r="K369">
        <v>0.21</v>
      </c>
      <c r="L369">
        <v>450</v>
      </c>
      <c r="M369">
        <v>6000</v>
      </c>
    </row>
    <row r="370" spans="1:25" x14ac:dyDescent="0.25">
      <c r="A370" t="s">
        <v>203</v>
      </c>
      <c r="H370" t="s">
        <v>198</v>
      </c>
      <c r="K370">
        <v>0.2</v>
      </c>
      <c r="L370">
        <v>1240</v>
      </c>
      <c r="M370">
        <v>11000</v>
      </c>
    </row>
    <row r="371" spans="1:25" x14ac:dyDescent="0.25">
      <c r="A371" t="s">
        <v>203</v>
      </c>
      <c r="H371" t="s">
        <v>135</v>
      </c>
      <c r="K371">
        <v>0.1</v>
      </c>
      <c r="L371">
        <v>100</v>
      </c>
      <c r="M371">
        <v>1500</v>
      </c>
    </row>
    <row r="372" spans="1:25" x14ac:dyDescent="0.25">
      <c r="A372" t="s">
        <v>203</v>
      </c>
      <c r="H372" t="s">
        <v>136</v>
      </c>
      <c r="K372">
        <v>0</v>
      </c>
      <c r="L372">
        <v>0</v>
      </c>
      <c r="M372">
        <v>0</v>
      </c>
    </row>
    <row r="373" spans="1:25" x14ac:dyDescent="0.25">
      <c r="A373" t="s">
        <v>203</v>
      </c>
      <c r="H373" t="s">
        <v>69</v>
      </c>
      <c r="K373">
        <v>0.15</v>
      </c>
      <c r="L373">
        <v>24150</v>
      </c>
      <c r="M373">
        <v>115270</v>
      </c>
      <c r="N373" s="13" t="s">
        <v>236</v>
      </c>
      <c r="O373" s="13" t="s">
        <v>234</v>
      </c>
    </row>
    <row r="374" spans="1:25" x14ac:dyDescent="0.25">
      <c r="L374" s="3"/>
      <c r="M374" s="3"/>
    </row>
    <row r="375" spans="1:25" x14ac:dyDescent="0.25">
      <c r="A375" t="s">
        <v>181</v>
      </c>
      <c r="B375">
        <v>2403</v>
      </c>
      <c r="C375">
        <v>0</v>
      </c>
      <c r="D375" t="s">
        <v>144</v>
      </c>
      <c r="E375" t="s">
        <v>145</v>
      </c>
      <c r="F375">
        <v>500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 t="s">
        <v>178</v>
      </c>
      <c r="V375" t="s">
        <v>147</v>
      </c>
      <c r="W375" t="s">
        <v>179</v>
      </c>
      <c r="X375" t="s">
        <v>149</v>
      </c>
      <c r="Y375">
        <v>0</v>
      </c>
    </row>
    <row r="376" spans="1:25" x14ac:dyDescent="0.25">
      <c r="A376" t="s">
        <v>181</v>
      </c>
      <c r="B376">
        <v>2403</v>
      </c>
      <c r="C376">
        <v>1</v>
      </c>
      <c r="D376" t="s">
        <v>144</v>
      </c>
      <c r="E376" t="s">
        <v>184</v>
      </c>
      <c r="F376">
        <v>5100</v>
      </c>
      <c r="G376">
        <v>0</v>
      </c>
      <c r="H376">
        <v>0</v>
      </c>
      <c r="I376">
        <v>1275</v>
      </c>
      <c r="J376">
        <v>2</v>
      </c>
      <c r="K376">
        <v>2</v>
      </c>
      <c r="L376">
        <v>8</v>
      </c>
      <c r="M376">
        <v>0</v>
      </c>
      <c r="N376">
        <v>350</v>
      </c>
      <c r="O376">
        <v>450</v>
      </c>
      <c r="P376">
        <v>1240</v>
      </c>
      <c r="Q376">
        <v>100</v>
      </c>
      <c r="R376">
        <v>0</v>
      </c>
      <c r="S376">
        <v>24150</v>
      </c>
      <c r="T376">
        <v>24031</v>
      </c>
      <c r="U376" t="s">
        <v>182</v>
      </c>
      <c r="V376" t="s">
        <v>183</v>
      </c>
      <c r="W376" t="s">
        <v>179</v>
      </c>
      <c r="X376" t="s">
        <v>149</v>
      </c>
      <c r="Y376">
        <v>0</v>
      </c>
    </row>
    <row r="377" spans="1:25" x14ac:dyDescent="0.25">
      <c r="A377" t="s">
        <v>181</v>
      </c>
      <c r="B377">
        <v>2403</v>
      </c>
      <c r="C377">
        <v>2</v>
      </c>
      <c r="D377" t="s">
        <v>144</v>
      </c>
      <c r="E377" t="s">
        <v>184</v>
      </c>
      <c r="F377">
        <v>5600</v>
      </c>
      <c r="G377">
        <v>0</v>
      </c>
      <c r="H377">
        <v>0</v>
      </c>
      <c r="I377">
        <v>1400</v>
      </c>
      <c r="J377">
        <v>2</v>
      </c>
      <c r="K377">
        <v>2</v>
      </c>
      <c r="L377">
        <v>8</v>
      </c>
      <c r="M377">
        <v>0</v>
      </c>
      <c r="N377">
        <v>450</v>
      </c>
      <c r="O377">
        <v>680</v>
      </c>
      <c r="P377">
        <v>1690</v>
      </c>
      <c r="Q377">
        <v>170</v>
      </c>
      <c r="R377">
        <v>0</v>
      </c>
      <c r="S377">
        <v>30000</v>
      </c>
      <c r="T377">
        <v>24031</v>
      </c>
      <c r="U377" t="s">
        <v>182</v>
      </c>
      <c r="V377" t="s">
        <v>183</v>
      </c>
      <c r="W377" t="s">
        <v>179</v>
      </c>
      <c r="X377" t="s">
        <v>149</v>
      </c>
      <c r="Y377">
        <v>0</v>
      </c>
    </row>
    <row r="378" spans="1:25" x14ac:dyDescent="0.25">
      <c r="A378" t="s">
        <v>181</v>
      </c>
      <c r="B378">
        <v>2403</v>
      </c>
      <c r="C378">
        <v>3</v>
      </c>
      <c r="D378" t="s">
        <v>144</v>
      </c>
      <c r="E378" t="s">
        <v>184</v>
      </c>
      <c r="F378">
        <v>6200</v>
      </c>
      <c r="G378">
        <v>0</v>
      </c>
      <c r="H378">
        <v>0</v>
      </c>
      <c r="I378">
        <v>1550</v>
      </c>
      <c r="J378">
        <v>2</v>
      </c>
      <c r="K378">
        <v>2</v>
      </c>
      <c r="L378">
        <v>8</v>
      </c>
      <c r="M378">
        <v>0</v>
      </c>
      <c r="N378">
        <v>560</v>
      </c>
      <c r="O378">
        <v>960</v>
      </c>
      <c r="P378">
        <v>2240</v>
      </c>
      <c r="Q378">
        <v>240</v>
      </c>
      <c r="R378">
        <v>0</v>
      </c>
      <c r="S378">
        <v>36800</v>
      </c>
      <c r="T378">
        <v>24031</v>
      </c>
      <c r="U378" t="s">
        <v>182</v>
      </c>
      <c r="V378" t="s">
        <v>183</v>
      </c>
      <c r="W378" t="s">
        <v>179</v>
      </c>
      <c r="X378" t="s">
        <v>149</v>
      </c>
      <c r="Y378">
        <v>0</v>
      </c>
    </row>
    <row r="379" spans="1:25" x14ac:dyDescent="0.25">
      <c r="A379" t="s">
        <v>181</v>
      </c>
      <c r="B379">
        <v>2403</v>
      </c>
      <c r="C379">
        <v>4</v>
      </c>
      <c r="D379" t="s">
        <v>144</v>
      </c>
      <c r="E379" t="s">
        <v>184</v>
      </c>
      <c r="F379">
        <v>6900</v>
      </c>
      <c r="G379">
        <v>0</v>
      </c>
      <c r="H379">
        <v>0</v>
      </c>
      <c r="I379">
        <v>1725</v>
      </c>
      <c r="J379">
        <v>3</v>
      </c>
      <c r="K379">
        <v>2</v>
      </c>
      <c r="L379">
        <v>8</v>
      </c>
      <c r="M379">
        <v>0</v>
      </c>
      <c r="N379">
        <v>700</v>
      </c>
      <c r="O379">
        <v>1310</v>
      </c>
      <c r="P379">
        <v>2900</v>
      </c>
      <c r="Q379">
        <v>330</v>
      </c>
      <c r="R379">
        <v>0</v>
      </c>
      <c r="S379">
        <v>44690</v>
      </c>
      <c r="T379">
        <v>24031</v>
      </c>
      <c r="U379" t="s">
        <v>182</v>
      </c>
      <c r="V379" t="s">
        <v>183</v>
      </c>
      <c r="W379" t="s">
        <v>179</v>
      </c>
      <c r="X379" t="s">
        <v>149</v>
      </c>
      <c r="Y379">
        <v>0</v>
      </c>
    </row>
    <row r="380" spans="1:25" x14ac:dyDescent="0.25">
      <c r="A380" t="s">
        <v>181</v>
      </c>
      <c r="B380">
        <v>2403</v>
      </c>
      <c r="C380">
        <v>5</v>
      </c>
      <c r="D380" t="s">
        <v>144</v>
      </c>
      <c r="E380" t="s">
        <v>184</v>
      </c>
      <c r="F380">
        <v>7500</v>
      </c>
      <c r="G380">
        <v>0</v>
      </c>
      <c r="H380">
        <v>0</v>
      </c>
      <c r="I380">
        <v>1875</v>
      </c>
      <c r="J380">
        <v>3</v>
      </c>
      <c r="K380">
        <v>2</v>
      </c>
      <c r="L380">
        <v>8</v>
      </c>
      <c r="M380">
        <v>0</v>
      </c>
      <c r="N380">
        <v>850</v>
      </c>
      <c r="O380">
        <v>1730</v>
      </c>
      <c r="P380">
        <v>3720</v>
      </c>
      <c r="Q380">
        <v>420</v>
      </c>
      <c r="R380">
        <v>0</v>
      </c>
      <c r="S380">
        <v>53860</v>
      </c>
      <c r="T380">
        <v>24031</v>
      </c>
      <c r="U380" t="s">
        <v>182</v>
      </c>
      <c r="V380" t="s">
        <v>183</v>
      </c>
      <c r="W380" t="s">
        <v>179</v>
      </c>
      <c r="X380" t="s">
        <v>149</v>
      </c>
      <c r="Y380">
        <v>0</v>
      </c>
    </row>
    <row r="381" spans="1:25" x14ac:dyDescent="0.25">
      <c r="A381" t="s">
        <v>181</v>
      </c>
      <c r="B381">
        <v>2403</v>
      </c>
      <c r="C381">
        <v>6</v>
      </c>
      <c r="D381" t="s">
        <v>144</v>
      </c>
      <c r="E381" t="s">
        <v>184</v>
      </c>
      <c r="F381">
        <v>8200</v>
      </c>
      <c r="G381">
        <v>0</v>
      </c>
      <c r="H381">
        <v>0</v>
      </c>
      <c r="I381">
        <v>2050</v>
      </c>
      <c r="J381">
        <v>3</v>
      </c>
      <c r="K381">
        <v>3</v>
      </c>
      <c r="L381">
        <v>9</v>
      </c>
      <c r="M381">
        <v>0</v>
      </c>
      <c r="N381">
        <v>1030</v>
      </c>
      <c r="O381">
        <v>2260</v>
      </c>
      <c r="P381">
        <v>4720</v>
      </c>
      <c r="Q381">
        <v>520</v>
      </c>
      <c r="R381">
        <v>0</v>
      </c>
      <c r="S381">
        <v>64520</v>
      </c>
      <c r="T381">
        <v>24031</v>
      </c>
      <c r="U381" t="s">
        <v>182</v>
      </c>
      <c r="V381" t="s">
        <v>183</v>
      </c>
      <c r="W381" t="s">
        <v>179</v>
      </c>
      <c r="X381" t="s">
        <v>149</v>
      </c>
      <c r="Y381">
        <v>0</v>
      </c>
    </row>
    <row r="382" spans="1:25" x14ac:dyDescent="0.25">
      <c r="A382" t="s">
        <v>181</v>
      </c>
      <c r="B382">
        <v>2403</v>
      </c>
      <c r="C382">
        <v>7</v>
      </c>
      <c r="D382" t="s">
        <v>144</v>
      </c>
      <c r="E382" t="s">
        <v>184</v>
      </c>
      <c r="F382">
        <v>9000</v>
      </c>
      <c r="G382">
        <v>0</v>
      </c>
      <c r="H382">
        <v>0</v>
      </c>
      <c r="I382">
        <v>2250</v>
      </c>
      <c r="J382">
        <v>4</v>
      </c>
      <c r="K382">
        <v>3</v>
      </c>
      <c r="L382">
        <v>9</v>
      </c>
      <c r="M382">
        <v>0</v>
      </c>
      <c r="N382">
        <v>1240</v>
      </c>
      <c r="O382">
        <v>2910</v>
      </c>
      <c r="P382">
        <v>5930</v>
      </c>
      <c r="Q382">
        <v>630</v>
      </c>
      <c r="R382">
        <v>0</v>
      </c>
      <c r="S382">
        <v>76900</v>
      </c>
      <c r="T382">
        <v>24031</v>
      </c>
      <c r="U382" t="s">
        <v>182</v>
      </c>
      <c r="V382" t="s">
        <v>183</v>
      </c>
      <c r="W382" t="s">
        <v>179</v>
      </c>
      <c r="X382" t="s">
        <v>149</v>
      </c>
      <c r="Y382">
        <v>0</v>
      </c>
    </row>
    <row r="383" spans="1:25" x14ac:dyDescent="0.25">
      <c r="A383" t="s">
        <v>181</v>
      </c>
      <c r="B383">
        <v>2403</v>
      </c>
      <c r="C383">
        <v>8</v>
      </c>
      <c r="D383" t="s">
        <v>144</v>
      </c>
      <c r="E383" t="s">
        <v>184</v>
      </c>
      <c r="F383">
        <v>9800</v>
      </c>
      <c r="G383">
        <v>0</v>
      </c>
      <c r="H383">
        <v>0</v>
      </c>
      <c r="I383">
        <v>2450</v>
      </c>
      <c r="J383">
        <v>4</v>
      </c>
      <c r="K383">
        <v>3</v>
      </c>
      <c r="L383">
        <v>9</v>
      </c>
      <c r="M383">
        <v>0</v>
      </c>
      <c r="N383">
        <v>1480</v>
      </c>
      <c r="O383">
        <v>3710</v>
      </c>
      <c r="P383">
        <v>7420</v>
      </c>
      <c r="Q383">
        <v>760</v>
      </c>
      <c r="R383">
        <v>0</v>
      </c>
      <c r="S383">
        <v>91290</v>
      </c>
      <c r="T383">
        <v>24031</v>
      </c>
      <c r="U383" t="s">
        <v>182</v>
      </c>
      <c r="V383" t="s">
        <v>183</v>
      </c>
      <c r="W383" t="s">
        <v>179</v>
      </c>
      <c r="X383" t="s">
        <v>149</v>
      </c>
      <c r="Y383">
        <v>0</v>
      </c>
    </row>
    <row r="384" spans="1:25" x14ac:dyDescent="0.25">
      <c r="A384" t="s">
        <v>181</v>
      </c>
      <c r="B384">
        <v>2403</v>
      </c>
      <c r="C384">
        <v>9</v>
      </c>
      <c r="D384" t="s">
        <v>144</v>
      </c>
      <c r="E384" t="s">
        <v>184</v>
      </c>
      <c r="F384">
        <v>10700</v>
      </c>
      <c r="G384">
        <v>0</v>
      </c>
      <c r="H384">
        <v>0</v>
      </c>
      <c r="I384">
        <v>2675</v>
      </c>
      <c r="J384">
        <v>4</v>
      </c>
      <c r="K384">
        <v>3</v>
      </c>
      <c r="L384">
        <v>9</v>
      </c>
      <c r="M384">
        <v>0</v>
      </c>
      <c r="N384">
        <v>1760</v>
      </c>
      <c r="O384">
        <v>4700</v>
      </c>
      <c r="P384">
        <v>9240</v>
      </c>
      <c r="Q384">
        <v>900</v>
      </c>
      <c r="R384">
        <v>0</v>
      </c>
      <c r="S384">
        <v>108010</v>
      </c>
      <c r="T384">
        <v>24031</v>
      </c>
      <c r="U384" t="s">
        <v>182</v>
      </c>
      <c r="V384" t="s">
        <v>183</v>
      </c>
      <c r="W384" t="s">
        <v>179</v>
      </c>
      <c r="X384" t="s">
        <v>149</v>
      </c>
      <c r="Y384">
        <v>0</v>
      </c>
    </row>
    <row r="385" spans="1:25" x14ac:dyDescent="0.25">
      <c r="A385" t="s">
        <v>181</v>
      </c>
      <c r="B385">
        <v>2403</v>
      </c>
      <c r="C385">
        <v>10</v>
      </c>
      <c r="D385" t="s">
        <v>144</v>
      </c>
      <c r="E385" t="s">
        <v>184</v>
      </c>
      <c r="F385">
        <v>11700</v>
      </c>
      <c r="G385">
        <v>0</v>
      </c>
      <c r="H385">
        <v>0</v>
      </c>
      <c r="I385">
        <v>2925</v>
      </c>
      <c r="J385">
        <v>5</v>
      </c>
      <c r="K385">
        <v>4</v>
      </c>
      <c r="L385">
        <v>10</v>
      </c>
      <c r="M385">
        <v>0</v>
      </c>
      <c r="N385">
        <v>2090</v>
      </c>
      <c r="O385">
        <v>5930</v>
      </c>
      <c r="P385">
        <v>11460</v>
      </c>
      <c r="Q385">
        <v>1050</v>
      </c>
      <c r="R385">
        <v>0</v>
      </c>
      <c r="S385">
        <v>127430</v>
      </c>
      <c r="T385">
        <v>24031</v>
      </c>
      <c r="U385" t="s">
        <v>182</v>
      </c>
      <c r="V385" t="s">
        <v>183</v>
      </c>
      <c r="W385" t="s">
        <v>179</v>
      </c>
      <c r="X385" t="s">
        <v>149</v>
      </c>
      <c r="Y385">
        <v>0</v>
      </c>
    </row>
    <row r="387" spans="1:25" x14ac:dyDescent="0.25">
      <c r="A387" t="s">
        <v>203</v>
      </c>
      <c r="B387" t="s">
        <v>201</v>
      </c>
      <c r="C387">
        <v>15</v>
      </c>
      <c r="K387" t="s">
        <v>1</v>
      </c>
      <c r="L387" t="s">
        <v>2</v>
      </c>
      <c r="M387" t="s">
        <v>194</v>
      </c>
      <c r="N387" t="s">
        <v>204</v>
      </c>
      <c r="O387" t="s">
        <v>205</v>
      </c>
    </row>
    <row r="388" spans="1:25" x14ac:dyDescent="0.25">
      <c r="A388" t="s">
        <v>203</v>
      </c>
      <c r="B388" t="s">
        <v>202</v>
      </c>
      <c r="C388">
        <v>4</v>
      </c>
      <c r="H388" t="s">
        <v>132</v>
      </c>
      <c r="K388">
        <v>0.1</v>
      </c>
      <c r="L388">
        <v>-4</v>
      </c>
      <c r="M388">
        <v>4500</v>
      </c>
    </row>
    <row r="389" spans="1:25" x14ac:dyDescent="0.25">
      <c r="A389" t="s">
        <v>203</v>
      </c>
      <c r="B389" t="s">
        <v>128</v>
      </c>
      <c r="C389" t="s">
        <v>118</v>
      </c>
      <c r="H389" t="s">
        <v>133</v>
      </c>
      <c r="K389">
        <v>0.2</v>
      </c>
      <c r="L389">
        <v>380</v>
      </c>
      <c r="M389">
        <v>13000</v>
      </c>
    </row>
    <row r="390" spans="1:25" x14ac:dyDescent="0.25">
      <c r="A390" t="s">
        <v>203</v>
      </c>
      <c r="H390" t="s">
        <v>198</v>
      </c>
      <c r="K390">
        <v>0.2</v>
      </c>
      <c r="L390">
        <v>450</v>
      </c>
      <c r="M390">
        <v>7000</v>
      </c>
    </row>
    <row r="391" spans="1:25" x14ac:dyDescent="0.25">
      <c r="A391" t="s">
        <v>203</v>
      </c>
      <c r="H391" t="s">
        <v>135</v>
      </c>
      <c r="K391">
        <v>0.1</v>
      </c>
      <c r="L391">
        <v>-8</v>
      </c>
      <c r="M391">
        <v>2500</v>
      </c>
    </row>
    <row r="392" spans="1:25" x14ac:dyDescent="0.25">
      <c r="A392" t="s">
        <v>203</v>
      </c>
      <c r="H392" t="s">
        <v>136</v>
      </c>
      <c r="K392">
        <v>0</v>
      </c>
      <c r="L392">
        <v>0</v>
      </c>
      <c r="M392">
        <v>0</v>
      </c>
    </row>
    <row r="393" spans="1:25" x14ac:dyDescent="0.25">
      <c r="A393" t="s">
        <v>203</v>
      </c>
      <c r="H393" t="s">
        <v>69</v>
      </c>
      <c r="K393">
        <v>0.1</v>
      </c>
      <c r="L393">
        <v>12150</v>
      </c>
      <c r="M393">
        <v>140000</v>
      </c>
      <c r="N393" s="13" t="s">
        <v>74</v>
      </c>
      <c r="O393" s="13" t="s">
        <v>237</v>
      </c>
    </row>
    <row r="394" spans="1:25" x14ac:dyDescent="0.25">
      <c r="L394" s="3"/>
      <c r="M394" s="3"/>
    </row>
    <row r="395" spans="1:25" x14ac:dyDescent="0.25">
      <c r="A395" t="s">
        <v>185</v>
      </c>
      <c r="B395">
        <v>2501</v>
      </c>
      <c r="C395">
        <v>0</v>
      </c>
      <c r="D395" t="s">
        <v>144</v>
      </c>
      <c r="E395" t="s">
        <v>145</v>
      </c>
      <c r="F395">
        <v>500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 t="s">
        <v>146</v>
      </c>
      <c r="V395" t="s">
        <v>147</v>
      </c>
      <c r="W395" t="s">
        <v>148</v>
      </c>
      <c r="X395" t="s">
        <v>149</v>
      </c>
      <c r="Y395">
        <v>0</v>
      </c>
    </row>
    <row r="396" spans="1:25" x14ac:dyDescent="0.25">
      <c r="A396" t="s">
        <v>185</v>
      </c>
      <c r="B396">
        <v>2501</v>
      </c>
      <c r="C396">
        <v>1</v>
      </c>
      <c r="D396" t="s">
        <v>144</v>
      </c>
      <c r="E396" t="s">
        <v>186</v>
      </c>
      <c r="F396">
        <v>1900</v>
      </c>
      <c r="G396">
        <v>0</v>
      </c>
      <c r="H396">
        <v>0</v>
      </c>
      <c r="I396">
        <v>266</v>
      </c>
      <c r="J396">
        <v>0</v>
      </c>
      <c r="K396">
        <v>7</v>
      </c>
      <c r="L396">
        <v>7</v>
      </c>
      <c r="M396">
        <v>0</v>
      </c>
      <c r="N396">
        <v>0</v>
      </c>
      <c r="O396">
        <v>380</v>
      </c>
      <c r="P396">
        <v>450</v>
      </c>
      <c r="Q396">
        <v>0</v>
      </c>
      <c r="R396">
        <v>0</v>
      </c>
      <c r="S396">
        <v>12150</v>
      </c>
      <c r="T396">
        <v>25011</v>
      </c>
      <c r="U396" t="s">
        <v>146</v>
      </c>
      <c r="V396" t="s">
        <v>147</v>
      </c>
      <c r="W396" t="s">
        <v>148</v>
      </c>
      <c r="X396" t="s">
        <v>149</v>
      </c>
      <c r="Y396">
        <v>0</v>
      </c>
    </row>
    <row r="397" spans="1:25" x14ac:dyDescent="0.25">
      <c r="A397" t="s">
        <v>185</v>
      </c>
      <c r="B397">
        <v>2501</v>
      </c>
      <c r="C397">
        <v>2</v>
      </c>
      <c r="D397" t="s">
        <v>144</v>
      </c>
      <c r="E397" t="s">
        <v>186</v>
      </c>
      <c r="F397">
        <v>2150</v>
      </c>
      <c r="G397">
        <v>0</v>
      </c>
      <c r="H397">
        <v>0</v>
      </c>
      <c r="I397">
        <v>301</v>
      </c>
      <c r="J397">
        <v>0</v>
      </c>
      <c r="K397">
        <v>7</v>
      </c>
      <c r="L397">
        <v>7</v>
      </c>
      <c r="M397">
        <v>0</v>
      </c>
      <c r="N397">
        <v>0</v>
      </c>
      <c r="O397">
        <v>560</v>
      </c>
      <c r="P397">
        <v>550</v>
      </c>
      <c r="Q397">
        <v>0</v>
      </c>
      <c r="R397">
        <v>0</v>
      </c>
      <c r="S397">
        <v>16100</v>
      </c>
      <c r="T397">
        <v>25011</v>
      </c>
      <c r="U397" t="s">
        <v>146</v>
      </c>
      <c r="V397" t="s">
        <v>147</v>
      </c>
      <c r="W397" t="s">
        <v>148</v>
      </c>
      <c r="X397" t="s">
        <v>149</v>
      </c>
      <c r="Y397">
        <v>0</v>
      </c>
    </row>
    <row r="398" spans="1:25" x14ac:dyDescent="0.25">
      <c r="A398" t="s">
        <v>185</v>
      </c>
      <c r="B398">
        <v>2501</v>
      </c>
      <c r="C398">
        <v>3</v>
      </c>
      <c r="D398" t="s">
        <v>144</v>
      </c>
      <c r="E398" t="s">
        <v>186</v>
      </c>
      <c r="F398">
        <v>2450</v>
      </c>
      <c r="G398">
        <v>0</v>
      </c>
      <c r="H398">
        <v>0</v>
      </c>
      <c r="I398">
        <v>343</v>
      </c>
      <c r="J398">
        <v>0</v>
      </c>
      <c r="K398">
        <v>7</v>
      </c>
      <c r="L398">
        <v>7</v>
      </c>
      <c r="M398">
        <v>0</v>
      </c>
      <c r="N398">
        <v>0</v>
      </c>
      <c r="O398">
        <v>780</v>
      </c>
      <c r="P398">
        <v>670</v>
      </c>
      <c r="Q398">
        <v>0</v>
      </c>
      <c r="R398">
        <v>0</v>
      </c>
      <c r="S398">
        <v>20460</v>
      </c>
      <c r="T398">
        <v>25013</v>
      </c>
      <c r="U398" t="s">
        <v>146</v>
      </c>
      <c r="V398" t="s">
        <v>147</v>
      </c>
      <c r="W398" t="s">
        <v>148</v>
      </c>
      <c r="X398" t="s">
        <v>149</v>
      </c>
      <c r="Y398">
        <v>0</v>
      </c>
    </row>
    <row r="399" spans="1:25" x14ac:dyDescent="0.25">
      <c r="A399" t="s">
        <v>185</v>
      </c>
      <c r="B399">
        <v>2501</v>
      </c>
      <c r="C399">
        <v>4</v>
      </c>
      <c r="D399" t="s">
        <v>144</v>
      </c>
      <c r="E399" t="s">
        <v>186</v>
      </c>
      <c r="F399">
        <v>2800</v>
      </c>
      <c r="G399">
        <v>0</v>
      </c>
      <c r="H399">
        <v>0</v>
      </c>
      <c r="I399">
        <v>392</v>
      </c>
      <c r="J399">
        <v>0</v>
      </c>
      <c r="K399">
        <v>7</v>
      </c>
      <c r="L399">
        <v>7</v>
      </c>
      <c r="M399">
        <v>0</v>
      </c>
      <c r="N399">
        <v>0</v>
      </c>
      <c r="O399">
        <v>1050</v>
      </c>
      <c r="P399">
        <v>820</v>
      </c>
      <c r="Q399">
        <v>0</v>
      </c>
      <c r="R399">
        <v>0</v>
      </c>
      <c r="S399">
        <v>25280</v>
      </c>
      <c r="T399">
        <v>25014</v>
      </c>
      <c r="U399" t="s">
        <v>146</v>
      </c>
      <c r="V399" t="s">
        <v>147</v>
      </c>
      <c r="W399" t="s">
        <v>148</v>
      </c>
      <c r="X399" t="s">
        <v>149</v>
      </c>
      <c r="Y399">
        <v>0</v>
      </c>
    </row>
    <row r="400" spans="1:25" x14ac:dyDescent="0.25">
      <c r="A400" t="s">
        <v>185</v>
      </c>
      <c r="B400">
        <v>2501</v>
      </c>
      <c r="C400">
        <v>5</v>
      </c>
      <c r="D400" t="s">
        <v>144</v>
      </c>
      <c r="E400" t="s">
        <v>186</v>
      </c>
      <c r="F400">
        <v>3100</v>
      </c>
      <c r="G400">
        <v>0</v>
      </c>
      <c r="H400">
        <v>0</v>
      </c>
      <c r="I400">
        <v>434</v>
      </c>
      <c r="J400">
        <v>0</v>
      </c>
      <c r="K400">
        <v>7</v>
      </c>
      <c r="L400">
        <v>7</v>
      </c>
      <c r="M400">
        <v>0</v>
      </c>
      <c r="N400">
        <v>160</v>
      </c>
      <c r="O400">
        <v>1380</v>
      </c>
      <c r="P400">
        <v>1010</v>
      </c>
      <c r="Q400">
        <v>0</v>
      </c>
      <c r="R400">
        <v>0</v>
      </c>
      <c r="S400">
        <v>30600</v>
      </c>
      <c r="T400">
        <v>25015</v>
      </c>
      <c r="U400" t="s">
        <v>146</v>
      </c>
      <c r="V400" t="s">
        <v>147</v>
      </c>
      <c r="W400" t="s">
        <v>148</v>
      </c>
      <c r="X400" t="s">
        <v>149</v>
      </c>
      <c r="Y400">
        <v>0</v>
      </c>
    </row>
    <row r="401" spans="1:25" x14ac:dyDescent="0.25">
      <c r="A401" t="s">
        <v>185</v>
      </c>
      <c r="B401">
        <v>2501</v>
      </c>
      <c r="C401">
        <v>6</v>
      </c>
      <c r="D401" t="s">
        <v>144</v>
      </c>
      <c r="E401" t="s">
        <v>186</v>
      </c>
      <c r="F401">
        <v>3450</v>
      </c>
      <c r="G401">
        <v>0</v>
      </c>
      <c r="H401">
        <v>0</v>
      </c>
      <c r="I401">
        <v>483</v>
      </c>
      <c r="J401">
        <v>0</v>
      </c>
      <c r="K401">
        <v>8</v>
      </c>
      <c r="L401">
        <v>8</v>
      </c>
      <c r="M401">
        <v>0</v>
      </c>
      <c r="N401">
        <v>330</v>
      </c>
      <c r="O401">
        <v>1780</v>
      </c>
      <c r="P401">
        <v>1230</v>
      </c>
      <c r="Q401">
        <v>0</v>
      </c>
      <c r="R401">
        <v>0</v>
      </c>
      <c r="S401">
        <v>36490</v>
      </c>
      <c r="T401">
        <v>25015</v>
      </c>
      <c r="U401" t="s">
        <v>146</v>
      </c>
      <c r="V401" t="s">
        <v>147</v>
      </c>
      <c r="W401" t="s">
        <v>148</v>
      </c>
      <c r="X401" t="s">
        <v>149</v>
      </c>
      <c r="Y401">
        <v>0</v>
      </c>
    </row>
    <row r="402" spans="1:25" x14ac:dyDescent="0.25">
      <c r="A402" t="s">
        <v>185</v>
      </c>
      <c r="B402">
        <v>2501</v>
      </c>
      <c r="C402">
        <v>7</v>
      </c>
      <c r="D402" t="s">
        <v>144</v>
      </c>
      <c r="E402" t="s">
        <v>186</v>
      </c>
      <c r="F402">
        <v>3850</v>
      </c>
      <c r="G402">
        <v>0</v>
      </c>
      <c r="H402">
        <v>0</v>
      </c>
      <c r="I402">
        <v>539</v>
      </c>
      <c r="J402">
        <v>0</v>
      </c>
      <c r="K402">
        <v>8</v>
      </c>
      <c r="L402">
        <v>8</v>
      </c>
      <c r="M402">
        <v>0</v>
      </c>
      <c r="N402">
        <v>520</v>
      </c>
      <c r="O402">
        <v>2270</v>
      </c>
      <c r="P402">
        <v>1500</v>
      </c>
      <c r="Q402">
        <v>0</v>
      </c>
      <c r="R402">
        <v>0</v>
      </c>
      <c r="S402">
        <v>43000</v>
      </c>
      <c r="T402">
        <v>25017</v>
      </c>
      <c r="U402" t="s">
        <v>146</v>
      </c>
      <c r="V402" t="s">
        <v>147</v>
      </c>
      <c r="W402" t="s">
        <v>148</v>
      </c>
      <c r="X402" t="s">
        <v>149</v>
      </c>
      <c r="Y402">
        <v>0</v>
      </c>
    </row>
    <row r="403" spans="1:25" x14ac:dyDescent="0.25">
      <c r="A403" t="s">
        <v>185</v>
      </c>
      <c r="B403">
        <v>2501</v>
      </c>
      <c r="C403">
        <v>8</v>
      </c>
      <c r="D403" t="s">
        <v>144</v>
      </c>
      <c r="E403" t="s">
        <v>186</v>
      </c>
      <c r="F403">
        <v>4250</v>
      </c>
      <c r="G403">
        <v>0</v>
      </c>
      <c r="H403">
        <v>0</v>
      </c>
      <c r="I403">
        <v>595</v>
      </c>
      <c r="J403">
        <v>0</v>
      </c>
      <c r="K403">
        <v>8</v>
      </c>
      <c r="L403">
        <v>8</v>
      </c>
      <c r="M403">
        <v>0</v>
      </c>
      <c r="N403">
        <v>740</v>
      </c>
      <c r="O403">
        <v>2870</v>
      </c>
      <c r="P403">
        <v>1830</v>
      </c>
      <c r="Q403">
        <v>0</v>
      </c>
      <c r="R403">
        <v>0</v>
      </c>
      <c r="S403">
        <v>50190</v>
      </c>
      <c r="T403">
        <v>25017</v>
      </c>
      <c r="U403" t="s">
        <v>146</v>
      </c>
      <c r="V403" t="s">
        <v>147</v>
      </c>
      <c r="W403" t="s">
        <v>148</v>
      </c>
      <c r="X403" t="s">
        <v>149</v>
      </c>
      <c r="Y403">
        <v>0</v>
      </c>
    </row>
    <row r="404" spans="1:25" x14ac:dyDescent="0.25">
      <c r="A404" t="s">
        <v>185</v>
      </c>
      <c r="B404">
        <v>2501</v>
      </c>
      <c r="C404">
        <v>9</v>
      </c>
      <c r="D404" t="s">
        <v>144</v>
      </c>
      <c r="E404" t="s">
        <v>186</v>
      </c>
      <c r="F404">
        <v>4700</v>
      </c>
      <c r="G404">
        <v>0</v>
      </c>
      <c r="H404">
        <v>0</v>
      </c>
      <c r="I404">
        <v>658</v>
      </c>
      <c r="J404">
        <v>0</v>
      </c>
      <c r="K404">
        <v>8</v>
      </c>
      <c r="L404">
        <v>8</v>
      </c>
      <c r="M404">
        <v>0</v>
      </c>
      <c r="N404">
        <v>970</v>
      </c>
      <c r="O404">
        <v>3600</v>
      </c>
      <c r="P404">
        <v>2240</v>
      </c>
      <c r="Q404">
        <v>130</v>
      </c>
      <c r="R404">
        <v>0</v>
      </c>
      <c r="S404">
        <v>58130</v>
      </c>
      <c r="T404">
        <v>25017</v>
      </c>
      <c r="U404" t="s">
        <v>146</v>
      </c>
      <c r="V404" t="s">
        <v>147</v>
      </c>
      <c r="W404" t="s">
        <v>148</v>
      </c>
      <c r="X404" t="s">
        <v>149</v>
      </c>
      <c r="Y404">
        <v>0</v>
      </c>
    </row>
    <row r="405" spans="1:25" x14ac:dyDescent="0.25">
      <c r="A405" t="s">
        <v>185</v>
      </c>
      <c r="B405">
        <v>2501</v>
      </c>
      <c r="C405">
        <v>10</v>
      </c>
      <c r="D405" t="s">
        <v>144</v>
      </c>
      <c r="E405" t="s">
        <v>186</v>
      </c>
      <c r="F405">
        <v>5200</v>
      </c>
      <c r="G405">
        <v>0</v>
      </c>
      <c r="H405">
        <v>0</v>
      </c>
      <c r="I405">
        <v>728</v>
      </c>
      <c r="J405">
        <v>0</v>
      </c>
      <c r="K405">
        <v>8</v>
      </c>
      <c r="L405">
        <v>8</v>
      </c>
      <c r="M405">
        <v>0</v>
      </c>
      <c r="N405">
        <v>1230</v>
      </c>
      <c r="O405">
        <v>4490</v>
      </c>
      <c r="P405">
        <v>2740</v>
      </c>
      <c r="Q405">
        <v>270</v>
      </c>
      <c r="R405">
        <v>0</v>
      </c>
      <c r="S405">
        <v>66910</v>
      </c>
      <c r="T405">
        <v>25010</v>
      </c>
      <c r="U405" t="s">
        <v>146</v>
      </c>
      <c r="V405" t="s">
        <v>147</v>
      </c>
      <c r="W405" t="s">
        <v>148</v>
      </c>
      <c r="X405" t="s">
        <v>149</v>
      </c>
      <c r="Y405">
        <v>0</v>
      </c>
    </row>
    <row r="406" spans="1:25" x14ac:dyDescent="0.25">
      <c r="A406" t="s">
        <v>185</v>
      </c>
      <c r="B406">
        <v>2501</v>
      </c>
      <c r="C406">
        <v>11</v>
      </c>
      <c r="D406" t="s">
        <v>144</v>
      </c>
      <c r="E406" t="s">
        <v>186</v>
      </c>
      <c r="F406">
        <v>5700</v>
      </c>
      <c r="G406">
        <v>0</v>
      </c>
      <c r="H406">
        <v>0</v>
      </c>
      <c r="I406">
        <v>798</v>
      </c>
      <c r="J406">
        <v>0</v>
      </c>
      <c r="K406">
        <v>9</v>
      </c>
      <c r="L406">
        <v>9</v>
      </c>
      <c r="M406">
        <v>0</v>
      </c>
      <c r="N406">
        <v>1520</v>
      </c>
      <c r="O406">
        <v>5580</v>
      </c>
      <c r="P406">
        <v>3340</v>
      </c>
      <c r="Q406">
        <v>430</v>
      </c>
      <c r="R406">
        <v>0</v>
      </c>
      <c r="S406">
        <v>76620</v>
      </c>
      <c r="T406">
        <v>25010</v>
      </c>
      <c r="U406" t="s">
        <v>146</v>
      </c>
      <c r="V406" t="s">
        <v>147</v>
      </c>
      <c r="W406" t="s">
        <v>148</v>
      </c>
      <c r="X406" t="s">
        <v>149</v>
      </c>
      <c r="Y406">
        <v>0</v>
      </c>
    </row>
    <row r="407" spans="1:25" x14ac:dyDescent="0.25">
      <c r="A407" t="s">
        <v>185</v>
      </c>
      <c r="B407">
        <v>2501</v>
      </c>
      <c r="C407">
        <v>12</v>
      </c>
      <c r="D407" t="s">
        <v>144</v>
      </c>
      <c r="E407" t="s">
        <v>186</v>
      </c>
      <c r="F407">
        <v>6250</v>
      </c>
      <c r="G407">
        <v>0</v>
      </c>
      <c r="H407">
        <v>0</v>
      </c>
      <c r="I407">
        <v>875</v>
      </c>
      <c r="J407">
        <v>0</v>
      </c>
      <c r="K407">
        <v>9</v>
      </c>
      <c r="L407">
        <v>9</v>
      </c>
      <c r="M407">
        <v>0</v>
      </c>
      <c r="N407">
        <v>1840</v>
      </c>
      <c r="O407">
        <v>6910</v>
      </c>
      <c r="P407">
        <v>4090</v>
      </c>
      <c r="Q407">
        <v>610</v>
      </c>
      <c r="R407">
        <v>0</v>
      </c>
      <c r="S407">
        <v>87350</v>
      </c>
      <c r="T407">
        <v>25010</v>
      </c>
      <c r="U407" t="s">
        <v>146</v>
      </c>
      <c r="V407" t="s">
        <v>147</v>
      </c>
      <c r="W407" t="s">
        <v>148</v>
      </c>
      <c r="X407" t="s">
        <v>149</v>
      </c>
      <c r="Y407">
        <v>0</v>
      </c>
    </row>
    <row r="408" spans="1:25" x14ac:dyDescent="0.25">
      <c r="A408" t="s">
        <v>185</v>
      </c>
      <c r="B408">
        <v>2501</v>
      </c>
      <c r="C408">
        <v>13</v>
      </c>
      <c r="D408" t="s">
        <v>144</v>
      </c>
      <c r="E408" t="s">
        <v>186</v>
      </c>
      <c r="F408">
        <v>6850</v>
      </c>
      <c r="G408">
        <v>0</v>
      </c>
      <c r="H408">
        <v>0</v>
      </c>
      <c r="I408">
        <v>959</v>
      </c>
      <c r="J408">
        <v>0</v>
      </c>
      <c r="K408">
        <v>9</v>
      </c>
      <c r="L408">
        <v>9</v>
      </c>
      <c r="M408">
        <v>0</v>
      </c>
      <c r="N408">
        <v>2190</v>
      </c>
      <c r="O408">
        <v>8540</v>
      </c>
      <c r="P408">
        <v>4990</v>
      </c>
      <c r="Q408">
        <v>810</v>
      </c>
      <c r="R408">
        <v>0</v>
      </c>
      <c r="S408">
        <v>99200</v>
      </c>
      <c r="T408">
        <v>25010</v>
      </c>
      <c r="U408" t="s">
        <v>146</v>
      </c>
      <c r="V408" t="s">
        <v>147</v>
      </c>
      <c r="W408" t="s">
        <v>148</v>
      </c>
      <c r="X408" t="s">
        <v>149</v>
      </c>
      <c r="Y408">
        <v>0</v>
      </c>
    </row>
    <row r="409" spans="1:25" x14ac:dyDescent="0.25">
      <c r="A409" t="s">
        <v>185</v>
      </c>
      <c r="B409">
        <v>2501</v>
      </c>
      <c r="C409">
        <v>14</v>
      </c>
      <c r="D409" t="s">
        <v>144</v>
      </c>
      <c r="E409" t="s">
        <v>186</v>
      </c>
      <c r="F409">
        <v>7450</v>
      </c>
      <c r="G409">
        <v>0</v>
      </c>
      <c r="H409">
        <v>0</v>
      </c>
      <c r="I409">
        <v>1043</v>
      </c>
      <c r="J409">
        <v>0</v>
      </c>
      <c r="K409">
        <v>9</v>
      </c>
      <c r="L409">
        <v>9</v>
      </c>
      <c r="M409">
        <v>0</v>
      </c>
      <c r="N409">
        <v>2570</v>
      </c>
      <c r="O409">
        <v>10520</v>
      </c>
      <c r="P409">
        <v>6100</v>
      </c>
      <c r="Q409">
        <v>1020</v>
      </c>
      <c r="R409">
        <v>0</v>
      </c>
      <c r="S409">
        <v>112300</v>
      </c>
      <c r="T409">
        <v>25010</v>
      </c>
      <c r="U409" t="s">
        <v>146</v>
      </c>
      <c r="V409" t="s">
        <v>147</v>
      </c>
      <c r="W409" t="s">
        <v>148</v>
      </c>
      <c r="X409" t="s">
        <v>149</v>
      </c>
      <c r="Y409">
        <v>0</v>
      </c>
    </row>
    <row r="410" spans="1:25" x14ac:dyDescent="0.25">
      <c r="A410" t="s">
        <v>185</v>
      </c>
      <c r="B410">
        <v>2501</v>
      </c>
      <c r="C410">
        <v>15</v>
      </c>
      <c r="D410" t="s">
        <v>144</v>
      </c>
      <c r="E410" t="s">
        <v>186</v>
      </c>
      <c r="F410">
        <v>8150</v>
      </c>
      <c r="G410">
        <v>0</v>
      </c>
      <c r="H410">
        <v>0</v>
      </c>
      <c r="I410">
        <v>1141</v>
      </c>
      <c r="J410">
        <v>0</v>
      </c>
      <c r="K410">
        <v>10</v>
      </c>
      <c r="L410">
        <v>10</v>
      </c>
      <c r="M410">
        <v>0</v>
      </c>
      <c r="N410">
        <v>3000</v>
      </c>
      <c r="O410">
        <v>12950</v>
      </c>
      <c r="P410">
        <v>7450</v>
      </c>
      <c r="Q410">
        <v>1260</v>
      </c>
      <c r="R410">
        <v>0</v>
      </c>
      <c r="S410">
        <v>126780</v>
      </c>
      <c r="T410">
        <v>25010</v>
      </c>
      <c r="U410" t="s">
        <v>146</v>
      </c>
      <c r="V410" t="s">
        <v>147</v>
      </c>
      <c r="W410" t="s">
        <v>148</v>
      </c>
      <c r="X410" t="s">
        <v>149</v>
      </c>
      <c r="Y410">
        <v>0</v>
      </c>
    </row>
    <row r="412" spans="1:25" x14ac:dyDescent="0.25">
      <c r="A412" t="s">
        <v>203</v>
      </c>
      <c r="B412" t="s">
        <v>201</v>
      </c>
      <c r="C412">
        <v>15</v>
      </c>
      <c r="K412" t="s">
        <v>1</v>
      </c>
      <c r="L412" t="s">
        <v>2</v>
      </c>
      <c r="M412" t="s">
        <v>194</v>
      </c>
      <c r="N412" t="s">
        <v>204</v>
      </c>
      <c r="O412" t="s">
        <v>205</v>
      </c>
    </row>
    <row r="413" spans="1:25" x14ac:dyDescent="0.25">
      <c r="A413" t="s">
        <v>203</v>
      </c>
      <c r="B413" t="s">
        <v>202</v>
      </c>
      <c r="C413">
        <v>5</v>
      </c>
      <c r="H413" t="s">
        <v>132</v>
      </c>
      <c r="K413">
        <v>0.1</v>
      </c>
      <c r="L413">
        <v>-2</v>
      </c>
      <c r="M413">
        <v>2500</v>
      </c>
    </row>
    <row r="414" spans="1:25" x14ac:dyDescent="0.25">
      <c r="A414" t="s">
        <v>203</v>
      </c>
      <c r="B414" t="s">
        <v>128</v>
      </c>
      <c r="C414" t="s">
        <v>118</v>
      </c>
      <c r="H414" t="s">
        <v>133</v>
      </c>
      <c r="K414">
        <v>0.2</v>
      </c>
      <c r="L414">
        <v>590</v>
      </c>
      <c r="M414">
        <v>6000</v>
      </c>
    </row>
    <row r="415" spans="1:25" x14ac:dyDescent="0.25">
      <c r="A415" t="s">
        <v>203</v>
      </c>
      <c r="H415" t="s">
        <v>198</v>
      </c>
      <c r="K415">
        <v>0.2</v>
      </c>
      <c r="L415">
        <v>760</v>
      </c>
      <c r="M415">
        <v>9000</v>
      </c>
    </row>
    <row r="416" spans="1:25" x14ac:dyDescent="0.25">
      <c r="A416" t="s">
        <v>203</v>
      </c>
      <c r="H416" t="s">
        <v>135</v>
      </c>
      <c r="K416">
        <v>0.1</v>
      </c>
      <c r="L416">
        <v>-5</v>
      </c>
      <c r="M416">
        <v>2000</v>
      </c>
    </row>
    <row r="417" spans="1:25" x14ac:dyDescent="0.25">
      <c r="A417" t="s">
        <v>203</v>
      </c>
      <c r="H417" t="s">
        <v>136</v>
      </c>
      <c r="K417">
        <v>0</v>
      </c>
      <c r="L417">
        <v>0</v>
      </c>
      <c r="M417">
        <v>0</v>
      </c>
    </row>
    <row r="418" spans="1:25" x14ac:dyDescent="0.25">
      <c r="A418" t="s">
        <v>203</v>
      </c>
      <c r="H418" t="s">
        <v>69</v>
      </c>
      <c r="K418">
        <v>0.15</v>
      </c>
      <c r="L418">
        <v>24300</v>
      </c>
      <c r="M418">
        <v>111100</v>
      </c>
      <c r="N418" s="13" t="s">
        <v>75</v>
      </c>
      <c r="O418" s="13" t="s">
        <v>238</v>
      </c>
    </row>
    <row r="419" spans="1:25" x14ac:dyDescent="0.25">
      <c r="L419" s="3"/>
      <c r="M419" s="3"/>
    </row>
    <row r="420" spans="1:25" x14ac:dyDescent="0.25">
      <c r="A420" t="s">
        <v>187</v>
      </c>
      <c r="B420">
        <v>2502</v>
      </c>
      <c r="C420">
        <v>0</v>
      </c>
      <c r="D420" t="s">
        <v>144</v>
      </c>
      <c r="E420" t="s">
        <v>145</v>
      </c>
      <c r="F420">
        <v>500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 t="s">
        <v>146</v>
      </c>
      <c r="V420" t="s">
        <v>147</v>
      </c>
      <c r="W420" t="s">
        <v>148</v>
      </c>
      <c r="X420" t="s">
        <v>149</v>
      </c>
      <c r="Y420">
        <v>0</v>
      </c>
    </row>
    <row r="421" spans="1:25" x14ac:dyDescent="0.25">
      <c r="A421" t="s">
        <v>187</v>
      </c>
      <c r="B421">
        <v>2502</v>
      </c>
      <c r="C421">
        <v>1</v>
      </c>
      <c r="D421" t="s">
        <v>144</v>
      </c>
      <c r="E421" t="s">
        <v>188</v>
      </c>
      <c r="F421">
        <v>2200</v>
      </c>
      <c r="G421">
        <v>0</v>
      </c>
      <c r="H421">
        <v>0</v>
      </c>
      <c r="I421">
        <v>308</v>
      </c>
      <c r="J421">
        <v>0</v>
      </c>
      <c r="K421">
        <v>7</v>
      </c>
      <c r="L421">
        <v>7</v>
      </c>
      <c r="M421">
        <v>0</v>
      </c>
      <c r="N421">
        <v>0</v>
      </c>
      <c r="O421">
        <v>590</v>
      </c>
      <c r="P421">
        <v>760</v>
      </c>
      <c r="Q421">
        <v>0</v>
      </c>
      <c r="R421">
        <v>0</v>
      </c>
      <c r="S421">
        <v>24300</v>
      </c>
      <c r="T421">
        <v>2502</v>
      </c>
      <c r="U421" t="s">
        <v>146</v>
      </c>
      <c r="V421" t="s">
        <v>147</v>
      </c>
      <c r="W421" t="s">
        <v>148</v>
      </c>
      <c r="X421" t="s">
        <v>149</v>
      </c>
      <c r="Y421">
        <v>0</v>
      </c>
    </row>
    <row r="422" spans="1:25" x14ac:dyDescent="0.25">
      <c r="A422" t="s">
        <v>187</v>
      </c>
      <c r="B422">
        <v>2502</v>
      </c>
      <c r="C422">
        <v>2</v>
      </c>
      <c r="D422" t="s">
        <v>144</v>
      </c>
      <c r="E422" t="s">
        <v>188</v>
      </c>
      <c r="F422">
        <v>2450</v>
      </c>
      <c r="G422">
        <v>0</v>
      </c>
      <c r="H422">
        <v>0</v>
      </c>
      <c r="I422">
        <v>343</v>
      </c>
      <c r="J422">
        <v>0</v>
      </c>
      <c r="K422">
        <v>7</v>
      </c>
      <c r="L422">
        <v>7</v>
      </c>
      <c r="M422">
        <v>0</v>
      </c>
      <c r="N422">
        <v>0</v>
      </c>
      <c r="O422">
        <v>680</v>
      </c>
      <c r="P422">
        <v>890</v>
      </c>
      <c r="Q422">
        <v>0</v>
      </c>
      <c r="R422">
        <v>0</v>
      </c>
      <c r="S422">
        <v>26980</v>
      </c>
      <c r="T422">
        <v>2502</v>
      </c>
      <c r="U422" t="s">
        <v>146</v>
      </c>
      <c r="V422" t="s">
        <v>147</v>
      </c>
      <c r="W422" t="s">
        <v>148</v>
      </c>
      <c r="X422" t="s">
        <v>149</v>
      </c>
      <c r="Y422">
        <v>0</v>
      </c>
    </row>
    <row r="423" spans="1:25" x14ac:dyDescent="0.25">
      <c r="A423" t="s">
        <v>187</v>
      </c>
      <c r="B423">
        <v>2502</v>
      </c>
      <c r="C423">
        <v>3</v>
      </c>
      <c r="D423" t="s">
        <v>144</v>
      </c>
      <c r="E423" t="s">
        <v>188</v>
      </c>
      <c r="F423">
        <v>2750</v>
      </c>
      <c r="G423">
        <v>0</v>
      </c>
      <c r="H423">
        <v>0</v>
      </c>
      <c r="I423">
        <v>385</v>
      </c>
      <c r="J423">
        <v>0</v>
      </c>
      <c r="K423">
        <v>7</v>
      </c>
      <c r="L423">
        <v>7</v>
      </c>
      <c r="M423">
        <v>0</v>
      </c>
      <c r="N423">
        <v>70</v>
      </c>
      <c r="O423">
        <v>790</v>
      </c>
      <c r="P423">
        <v>1050</v>
      </c>
      <c r="Q423">
        <v>0</v>
      </c>
      <c r="R423">
        <v>0</v>
      </c>
      <c r="S423">
        <v>30100</v>
      </c>
      <c r="T423">
        <v>2502</v>
      </c>
      <c r="U423" t="s">
        <v>146</v>
      </c>
      <c r="V423" t="s">
        <v>147</v>
      </c>
      <c r="W423" t="s">
        <v>148</v>
      </c>
      <c r="X423" t="s">
        <v>149</v>
      </c>
      <c r="Y423">
        <v>0</v>
      </c>
    </row>
    <row r="424" spans="1:25" x14ac:dyDescent="0.25">
      <c r="A424" t="s">
        <v>187</v>
      </c>
      <c r="B424">
        <v>2502</v>
      </c>
      <c r="C424">
        <v>4</v>
      </c>
      <c r="D424" t="s">
        <v>144</v>
      </c>
      <c r="E424" t="s">
        <v>188</v>
      </c>
      <c r="F424">
        <v>3100</v>
      </c>
      <c r="G424">
        <v>0</v>
      </c>
      <c r="H424">
        <v>0</v>
      </c>
      <c r="I424">
        <v>434</v>
      </c>
      <c r="J424">
        <v>0</v>
      </c>
      <c r="K424">
        <v>7</v>
      </c>
      <c r="L424">
        <v>7</v>
      </c>
      <c r="M424">
        <v>0</v>
      </c>
      <c r="N424">
        <v>150</v>
      </c>
      <c r="O424">
        <v>920</v>
      </c>
      <c r="P424">
        <v>1250</v>
      </c>
      <c r="Q424">
        <v>0</v>
      </c>
      <c r="R424">
        <v>0</v>
      </c>
      <c r="S424">
        <v>33720</v>
      </c>
      <c r="T424">
        <v>2502</v>
      </c>
      <c r="U424" t="s">
        <v>146</v>
      </c>
      <c r="V424" t="s">
        <v>147</v>
      </c>
      <c r="W424" t="s">
        <v>148</v>
      </c>
      <c r="X424" t="s">
        <v>149</v>
      </c>
      <c r="Y424">
        <v>0</v>
      </c>
    </row>
    <row r="425" spans="1:25" x14ac:dyDescent="0.25">
      <c r="A425" t="s">
        <v>187</v>
      </c>
      <c r="B425">
        <v>2502</v>
      </c>
      <c r="C425">
        <v>5</v>
      </c>
      <c r="D425" t="s">
        <v>144</v>
      </c>
      <c r="E425" t="s">
        <v>188</v>
      </c>
      <c r="F425">
        <v>3400</v>
      </c>
      <c r="G425">
        <v>0</v>
      </c>
      <c r="H425">
        <v>0</v>
      </c>
      <c r="I425">
        <v>476</v>
      </c>
      <c r="J425">
        <v>0</v>
      </c>
      <c r="K425">
        <v>7</v>
      </c>
      <c r="L425">
        <v>7</v>
      </c>
      <c r="M425">
        <v>0</v>
      </c>
      <c r="N425">
        <v>240</v>
      </c>
      <c r="O425">
        <v>1080</v>
      </c>
      <c r="P425">
        <v>1490</v>
      </c>
      <c r="Q425">
        <v>0</v>
      </c>
      <c r="R425">
        <v>0</v>
      </c>
      <c r="S425">
        <v>37930</v>
      </c>
      <c r="T425">
        <v>2502</v>
      </c>
      <c r="U425" t="s">
        <v>146</v>
      </c>
      <c r="V425" t="s">
        <v>147</v>
      </c>
      <c r="W425" t="s">
        <v>148</v>
      </c>
      <c r="X425" t="s">
        <v>149</v>
      </c>
      <c r="Y425">
        <v>0</v>
      </c>
    </row>
    <row r="426" spans="1:25" x14ac:dyDescent="0.25">
      <c r="A426" t="s">
        <v>187</v>
      </c>
      <c r="B426">
        <v>2502</v>
      </c>
      <c r="C426">
        <v>6</v>
      </c>
      <c r="D426" t="s">
        <v>144</v>
      </c>
      <c r="E426" t="s">
        <v>188</v>
      </c>
      <c r="F426">
        <v>3750</v>
      </c>
      <c r="G426">
        <v>0</v>
      </c>
      <c r="H426">
        <v>0</v>
      </c>
      <c r="I426">
        <v>525</v>
      </c>
      <c r="J426">
        <v>0</v>
      </c>
      <c r="K426">
        <v>8</v>
      </c>
      <c r="L426">
        <v>8</v>
      </c>
      <c r="M426">
        <v>0</v>
      </c>
      <c r="N426">
        <v>340</v>
      </c>
      <c r="O426">
        <v>1280</v>
      </c>
      <c r="P426">
        <v>1780</v>
      </c>
      <c r="Q426">
        <v>80</v>
      </c>
      <c r="R426">
        <v>0</v>
      </c>
      <c r="S426">
        <v>42820</v>
      </c>
      <c r="T426">
        <v>2502</v>
      </c>
      <c r="U426" t="s">
        <v>146</v>
      </c>
      <c r="V426" t="s">
        <v>147</v>
      </c>
      <c r="W426" t="s">
        <v>148</v>
      </c>
      <c r="X426" t="s">
        <v>149</v>
      </c>
      <c r="Y426">
        <v>0</v>
      </c>
    </row>
    <row r="427" spans="1:25" x14ac:dyDescent="0.25">
      <c r="A427" t="s">
        <v>187</v>
      </c>
      <c r="B427">
        <v>2502</v>
      </c>
      <c r="C427">
        <v>7</v>
      </c>
      <c r="D427" t="s">
        <v>144</v>
      </c>
      <c r="E427" t="s">
        <v>188</v>
      </c>
      <c r="F427">
        <v>4150</v>
      </c>
      <c r="G427">
        <v>0</v>
      </c>
      <c r="H427">
        <v>0</v>
      </c>
      <c r="I427">
        <v>581</v>
      </c>
      <c r="J427">
        <v>0</v>
      </c>
      <c r="K427">
        <v>8</v>
      </c>
      <c r="L427">
        <v>8</v>
      </c>
      <c r="M427">
        <v>0</v>
      </c>
      <c r="N427">
        <v>440</v>
      </c>
      <c r="O427">
        <v>1520</v>
      </c>
      <c r="P427">
        <v>2140</v>
      </c>
      <c r="Q427">
        <v>160</v>
      </c>
      <c r="R427">
        <v>0</v>
      </c>
      <c r="S427">
        <v>48500</v>
      </c>
      <c r="T427">
        <v>2502</v>
      </c>
      <c r="U427" t="s">
        <v>146</v>
      </c>
      <c r="V427" t="s">
        <v>147</v>
      </c>
      <c r="W427" t="s">
        <v>148</v>
      </c>
      <c r="X427" t="s">
        <v>149</v>
      </c>
      <c r="Y427">
        <v>0</v>
      </c>
    </row>
    <row r="428" spans="1:25" x14ac:dyDescent="0.25">
      <c r="A428" t="s">
        <v>187</v>
      </c>
      <c r="B428">
        <v>2502</v>
      </c>
      <c r="C428">
        <v>8</v>
      </c>
      <c r="D428" t="s">
        <v>144</v>
      </c>
      <c r="E428" t="s">
        <v>188</v>
      </c>
      <c r="F428">
        <v>4550</v>
      </c>
      <c r="G428">
        <v>0</v>
      </c>
      <c r="H428">
        <v>0</v>
      </c>
      <c r="I428">
        <v>637</v>
      </c>
      <c r="J428">
        <v>0</v>
      </c>
      <c r="K428">
        <v>8</v>
      </c>
      <c r="L428">
        <v>8</v>
      </c>
      <c r="M428">
        <v>0</v>
      </c>
      <c r="N428">
        <v>560</v>
      </c>
      <c r="O428">
        <v>1810</v>
      </c>
      <c r="P428">
        <v>2570</v>
      </c>
      <c r="Q428">
        <v>260</v>
      </c>
      <c r="R428">
        <v>0</v>
      </c>
      <c r="S428">
        <v>55100</v>
      </c>
      <c r="T428">
        <v>2502</v>
      </c>
      <c r="U428" t="s">
        <v>146</v>
      </c>
      <c r="V428" t="s">
        <v>147</v>
      </c>
      <c r="W428" t="s">
        <v>148</v>
      </c>
      <c r="X428" t="s">
        <v>149</v>
      </c>
      <c r="Y428">
        <v>0</v>
      </c>
    </row>
    <row r="429" spans="1:25" x14ac:dyDescent="0.25">
      <c r="A429" t="s">
        <v>187</v>
      </c>
      <c r="B429">
        <v>2502</v>
      </c>
      <c r="C429">
        <v>9</v>
      </c>
      <c r="D429" t="s">
        <v>144</v>
      </c>
      <c r="E429" t="s">
        <v>188</v>
      </c>
      <c r="F429">
        <v>5000</v>
      </c>
      <c r="G429">
        <v>0</v>
      </c>
      <c r="H429">
        <v>0</v>
      </c>
      <c r="I429">
        <v>700</v>
      </c>
      <c r="J429">
        <v>0</v>
      </c>
      <c r="K429">
        <v>8</v>
      </c>
      <c r="L429">
        <v>8</v>
      </c>
      <c r="M429">
        <v>0</v>
      </c>
      <c r="N429">
        <v>690</v>
      </c>
      <c r="O429">
        <v>2170</v>
      </c>
      <c r="P429">
        <v>3110</v>
      </c>
      <c r="Q429">
        <v>360</v>
      </c>
      <c r="R429">
        <v>0</v>
      </c>
      <c r="S429">
        <v>62770</v>
      </c>
      <c r="T429">
        <v>2502</v>
      </c>
      <c r="U429" t="s">
        <v>146</v>
      </c>
      <c r="V429" t="s">
        <v>147</v>
      </c>
      <c r="W429" t="s">
        <v>148</v>
      </c>
      <c r="X429" t="s">
        <v>149</v>
      </c>
      <c r="Y429">
        <v>0</v>
      </c>
    </row>
    <row r="430" spans="1:25" x14ac:dyDescent="0.25">
      <c r="A430" t="s">
        <v>187</v>
      </c>
      <c r="B430">
        <v>2502</v>
      </c>
      <c r="C430">
        <v>10</v>
      </c>
      <c r="D430" t="s">
        <v>144</v>
      </c>
      <c r="E430" t="s">
        <v>188</v>
      </c>
      <c r="F430">
        <v>5500</v>
      </c>
      <c r="G430">
        <v>0</v>
      </c>
      <c r="H430">
        <v>0</v>
      </c>
      <c r="I430">
        <v>770</v>
      </c>
      <c r="J430">
        <v>0</v>
      </c>
      <c r="K430">
        <v>8</v>
      </c>
      <c r="L430">
        <v>8</v>
      </c>
      <c r="M430">
        <v>0</v>
      </c>
      <c r="N430">
        <v>830</v>
      </c>
      <c r="O430">
        <v>2610</v>
      </c>
      <c r="P430">
        <v>3760</v>
      </c>
      <c r="Q430">
        <v>480</v>
      </c>
      <c r="R430">
        <v>0</v>
      </c>
      <c r="S430">
        <v>71680</v>
      </c>
      <c r="T430">
        <v>2502</v>
      </c>
      <c r="U430" t="s">
        <v>146</v>
      </c>
      <c r="V430" t="s">
        <v>147</v>
      </c>
      <c r="W430" t="s">
        <v>148</v>
      </c>
      <c r="X430" t="s">
        <v>149</v>
      </c>
      <c r="Y430">
        <v>0</v>
      </c>
    </row>
    <row r="431" spans="1:25" x14ac:dyDescent="0.25">
      <c r="A431" t="s">
        <v>187</v>
      </c>
      <c r="B431">
        <v>2502</v>
      </c>
      <c r="C431">
        <v>11</v>
      </c>
      <c r="D431" t="s">
        <v>144</v>
      </c>
      <c r="E431" t="s">
        <v>188</v>
      </c>
      <c r="F431">
        <v>6000</v>
      </c>
      <c r="G431">
        <v>0</v>
      </c>
      <c r="H431">
        <v>0</v>
      </c>
      <c r="I431">
        <v>840</v>
      </c>
      <c r="J431">
        <v>0</v>
      </c>
      <c r="K431">
        <v>9</v>
      </c>
      <c r="L431">
        <v>9</v>
      </c>
      <c r="M431">
        <v>0</v>
      </c>
      <c r="N431">
        <v>990</v>
      </c>
      <c r="O431">
        <v>3150</v>
      </c>
      <c r="P431">
        <v>4550</v>
      </c>
      <c r="Q431">
        <v>600</v>
      </c>
      <c r="R431">
        <v>0</v>
      </c>
      <c r="S431">
        <v>82030</v>
      </c>
      <c r="T431">
        <v>2502</v>
      </c>
      <c r="U431" t="s">
        <v>146</v>
      </c>
      <c r="V431" t="s">
        <v>147</v>
      </c>
      <c r="W431" t="s">
        <v>148</v>
      </c>
      <c r="X431" t="s">
        <v>149</v>
      </c>
      <c r="Y431">
        <v>0</v>
      </c>
    </row>
    <row r="432" spans="1:25" x14ac:dyDescent="0.25">
      <c r="A432" t="s">
        <v>187</v>
      </c>
      <c r="B432">
        <v>2502</v>
      </c>
      <c r="C432">
        <v>12</v>
      </c>
      <c r="D432" t="s">
        <v>144</v>
      </c>
      <c r="E432" t="s">
        <v>188</v>
      </c>
      <c r="F432">
        <v>6550</v>
      </c>
      <c r="G432">
        <v>0</v>
      </c>
      <c r="H432">
        <v>0</v>
      </c>
      <c r="I432">
        <v>917</v>
      </c>
      <c r="J432">
        <v>0</v>
      </c>
      <c r="K432">
        <v>9</v>
      </c>
      <c r="L432">
        <v>9</v>
      </c>
      <c r="M432">
        <v>0</v>
      </c>
      <c r="N432">
        <v>1170</v>
      </c>
      <c r="O432">
        <v>3810</v>
      </c>
      <c r="P432">
        <v>5520</v>
      </c>
      <c r="Q432">
        <v>750</v>
      </c>
      <c r="R432">
        <v>0</v>
      </c>
      <c r="S432">
        <v>94050</v>
      </c>
      <c r="T432">
        <v>2502</v>
      </c>
      <c r="U432" t="s">
        <v>146</v>
      </c>
      <c r="V432" t="s">
        <v>147</v>
      </c>
      <c r="W432" t="s">
        <v>148</v>
      </c>
      <c r="X432" t="s">
        <v>149</v>
      </c>
      <c r="Y432">
        <v>0</v>
      </c>
    </row>
    <row r="433" spans="1:25" x14ac:dyDescent="0.25">
      <c r="A433" t="s">
        <v>187</v>
      </c>
      <c r="B433">
        <v>2502</v>
      </c>
      <c r="C433">
        <v>13</v>
      </c>
      <c r="D433" t="s">
        <v>144</v>
      </c>
      <c r="E433" t="s">
        <v>188</v>
      </c>
      <c r="F433">
        <v>7150</v>
      </c>
      <c r="G433">
        <v>0</v>
      </c>
      <c r="H433">
        <v>0</v>
      </c>
      <c r="I433">
        <v>1001</v>
      </c>
      <c r="J433">
        <v>0</v>
      </c>
      <c r="K433">
        <v>9</v>
      </c>
      <c r="L433">
        <v>9</v>
      </c>
      <c r="M433">
        <v>0</v>
      </c>
      <c r="N433">
        <v>1370</v>
      </c>
      <c r="O433">
        <v>4610</v>
      </c>
      <c r="P433">
        <v>6710</v>
      </c>
      <c r="Q433">
        <v>900</v>
      </c>
      <c r="R433">
        <v>0</v>
      </c>
      <c r="S433">
        <v>108030</v>
      </c>
      <c r="T433">
        <v>2502</v>
      </c>
      <c r="U433" t="s">
        <v>146</v>
      </c>
      <c r="V433" t="s">
        <v>147</v>
      </c>
      <c r="W433" t="s">
        <v>148</v>
      </c>
      <c r="X433" t="s">
        <v>149</v>
      </c>
      <c r="Y433">
        <v>0</v>
      </c>
    </row>
    <row r="434" spans="1:25" x14ac:dyDescent="0.25">
      <c r="A434" t="s">
        <v>187</v>
      </c>
      <c r="B434">
        <v>2502</v>
      </c>
      <c r="C434">
        <v>14</v>
      </c>
      <c r="D434" t="s">
        <v>144</v>
      </c>
      <c r="E434" t="s">
        <v>188</v>
      </c>
      <c r="F434">
        <v>7750</v>
      </c>
      <c r="G434">
        <v>0</v>
      </c>
      <c r="H434">
        <v>0</v>
      </c>
      <c r="I434">
        <v>1085</v>
      </c>
      <c r="J434">
        <v>0</v>
      </c>
      <c r="K434">
        <v>9</v>
      </c>
      <c r="L434">
        <v>9</v>
      </c>
      <c r="M434">
        <v>0</v>
      </c>
      <c r="N434">
        <v>1580</v>
      </c>
      <c r="O434">
        <v>5580</v>
      </c>
      <c r="P434">
        <v>8160</v>
      </c>
      <c r="Q434">
        <v>1070</v>
      </c>
      <c r="R434">
        <v>0</v>
      </c>
      <c r="S434">
        <v>124260</v>
      </c>
      <c r="T434">
        <v>2502</v>
      </c>
      <c r="U434" t="s">
        <v>146</v>
      </c>
      <c r="V434" t="s">
        <v>147</v>
      </c>
      <c r="W434" t="s">
        <v>148</v>
      </c>
      <c r="X434" t="s">
        <v>149</v>
      </c>
      <c r="Y434">
        <v>0</v>
      </c>
    </row>
    <row r="435" spans="1:25" x14ac:dyDescent="0.25">
      <c r="A435" t="s">
        <v>187</v>
      </c>
      <c r="B435">
        <v>2502</v>
      </c>
      <c r="C435">
        <v>15</v>
      </c>
      <c r="D435" t="s">
        <v>144</v>
      </c>
      <c r="E435" t="s">
        <v>188</v>
      </c>
      <c r="F435">
        <v>8450</v>
      </c>
      <c r="G435">
        <v>0</v>
      </c>
      <c r="H435">
        <v>0</v>
      </c>
      <c r="I435">
        <v>1183</v>
      </c>
      <c r="J435">
        <v>0</v>
      </c>
      <c r="K435">
        <v>10</v>
      </c>
      <c r="L435">
        <v>10</v>
      </c>
      <c r="M435">
        <v>0</v>
      </c>
      <c r="N435">
        <v>1820</v>
      </c>
      <c r="O435">
        <v>6780</v>
      </c>
      <c r="P435">
        <v>9930</v>
      </c>
      <c r="Q435">
        <v>1260</v>
      </c>
      <c r="R435">
        <v>0</v>
      </c>
      <c r="S435">
        <v>143120</v>
      </c>
      <c r="T435">
        <v>2502</v>
      </c>
      <c r="U435" t="s">
        <v>146</v>
      </c>
      <c r="V435" t="s">
        <v>147</v>
      </c>
      <c r="W435" t="s">
        <v>148</v>
      </c>
      <c r="X435" t="s">
        <v>149</v>
      </c>
      <c r="Y435">
        <v>0</v>
      </c>
    </row>
    <row r="438" spans="1:25" x14ac:dyDescent="0.25">
      <c r="A438" t="s">
        <v>189</v>
      </c>
      <c r="B438">
        <v>3001</v>
      </c>
      <c r="C438">
        <v>0</v>
      </c>
      <c r="D438" t="s">
        <v>144</v>
      </c>
      <c r="E438" t="s">
        <v>145</v>
      </c>
      <c r="F438">
        <v>500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 t="s">
        <v>146</v>
      </c>
      <c r="V438" t="s">
        <v>147</v>
      </c>
      <c r="W438" t="s">
        <v>179</v>
      </c>
      <c r="X438" t="s">
        <v>149</v>
      </c>
      <c r="Y438">
        <v>0</v>
      </c>
    </row>
    <row r="439" spans="1:25" x14ac:dyDescent="0.25">
      <c r="A439" t="s">
        <v>189</v>
      </c>
      <c r="B439">
        <v>3001</v>
      </c>
      <c r="C439">
        <v>1</v>
      </c>
      <c r="D439" t="s">
        <v>144</v>
      </c>
      <c r="E439" t="s">
        <v>162</v>
      </c>
      <c r="F439">
        <v>500</v>
      </c>
      <c r="G439">
        <v>0</v>
      </c>
      <c r="H439">
        <v>0</v>
      </c>
      <c r="I439">
        <v>100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15</v>
      </c>
      <c r="S439">
        <v>24300</v>
      </c>
      <c r="T439">
        <v>3001</v>
      </c>
      <c r="U439" t="s">
        <v>146</v>
      </c>
      <c r="V439" t="s">
        <v>147</v>
      </c>
      <c r="W439" t="s">
        <v>179</v>
      </c>
      <c r="X439" t="s">
        <v>149</v>
      </c>
      <c r="Y439">
        <v>0</v>
      </c>
    </row>
    <row r="440" spans="1:25" x14ac:dyDescent="0.25">
      <c r="A440" t="s">
        <v>190</v>
      </c>
      <c r="B440">
        <v>3002</v>
      </c>
      <c r="C440">
        <v>0</v>
      </c>
      <c r="D440" t="s">
        <v>144</v>
      </c>
      <c r="E440" t="s">
        <v>145</v>
      </c>
      <c r="F440">
        <v>500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 t="s">
        <v>146</v>
      </c>
      <c r="V440" t="s">
        <v>147</v>
      </c>
      <c r="W440" t="s">
        <v>179</v>
      </c>
      <c r="X440" t="s">
        <v>149</v>
      </c>
      <c r="Y440">
        <v>0</v>
      </c>
    </row>
    <row r="441" spans="1:25" x14ac:dyDescent="0.25">
      <c r="A441" t="s">
        <v>190</v>
      </c>
      <c r="B441">
        <v>3002</v>
      </c>
      <c r="C441">
        <v>1</v>
      </c>
      <c r="D441" t="s">
        <v>144</v>
      </c>
      <c r="E441" t="s">
        <v>188</v>
      </c>
      <c r="F441">
        <v>800</v>
      </c>
      <c r="G441">
        <v>0</v>
      </c>
      <c r="H441">
        <v>0</v>
      </c>
      <c r="I441">
        <v>100</v>
      </c>
      <c r="J441">
        <v>0</v>
      </c>
      <c r="K441">
        <v>5</v>
      </c>
      <c r="L441">
        <v>5</v>
      </c>
      <c r="M441">
        <v>0</v>
      </c>
      <c r="N441">
        <v>0</v>
      </c>
      <c r="O441">
        <v>200</v>
      </c>
      <c r="P441">
        <v>200</v>
      </c>
      <c r="Q441">
        <v>0</v>
      </c>
      <c r="R441">
        <v>0</v>
      </c>
      <c r="S441">
        <v>14400</v>
      </c>
      <c r="T441">
        <v>0</v>
      </c>
      <c r="U441" t="s">
        <v>146</v>
      </c>
      <c r="V441" t="s">
        <v>147</v>
      </c>
      <c r="W441" t="s">
        <v>179</v>
      </c>
      <c r="X441" t="s">
        <v>149</v>
      </c>
      <c r="Y441">
        <v>0</v>
      </c>
    </row>
    <row r="442" spans="1:25" x14ac:dyDescent="0.25">
      <c r="A442" t="s">
        <v>191</v>
      </c>
      <c r="B442">
        <v>3003</v>
      </c>
      <c r="C442">
        <v>0</v>
      </c>
      <c r="D442" t="s">
        <v>144</v>
      </c>
      <c r="E442" t="s">
        <v>145</v>
      </c>
      <c r="F442">
        <v>500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 t="s">
        <v>146</v>
      </c>
      <c r="V442" t="s">
        <v>147</v>
      </c>
      <c r="W442" t="s">
        <v>179</v>
      </c>
      <c r="X442" t="s">
        <v>149</v>
      </c>
      <c r="Y442">
        <v>0</v>
      </c>
    </row>
    <row r="443" spans="1:25" x14ac:dyDescent="0.25">
      <c r="A443" t="s">
        <v>191</v>
      </c>
      <c r="B443">
        <v>3003</v>
      </c>
      <c r="C443">
        <v>1</v>
      </c>
      <c r="D443" t="s">
        <v>144</v>
      </c>
      <c r="E443" t="s">
        <v>188</v>
      </c>
      <c r="F443">
        <v>1560</v>
      </c>
      <c r="G443">
        <v>0</v>
      </c>
      <c r="H443">
        <v>0</v>
      </c>
      <c r="I443">
        <v>195</v>
      </c>
      <c r="J443">
        <v>0</v>
      </c>
      <c r="K443">
        <v>5</v>
      </c>
      <c r="L443">
        <v>5</v>
      </c>
      <c r="M443">
        <v>0</v>
      </c>
      <c r="N443">
        <v>0</v>
      </c>
      <c r="O443">
        <v>800</v>
      </c>
      <c r="P443">
        <v>800</v>
      </c>
      <c r="Q443">
        <v>0</v>
      </c>
      <c r="R443">
        <v>0</v>
      </c>
      <c r="S443">
        <v>28800</v>
      </c>
      <c r="T443">
        <v>0</v>
      </c>
      <c r="U443" t="s">
        <v>146</v>
      </c>
      <c r="V443" t="s">
        <v>147</v>
      </c>
      <c r="W443" t="s">
        <v>179</v>
      </c>
      <c r="X443" t="s">
        <v>149</v>
      </c>
      <c r="Y443">
        <v>0</v>
      </c>
    </row>
    <row r="444" spans="1:25" x14ac:dyDescent="0.25">
      <c r="A444" t="s">
        <v>192</v>
      </c>
      <c r="B444">
        <v>3004</v>
      </c>
      <c r="C444">
        <v>0</v>
      </c>
      <c r="D444" t="s">
        <v>144</v>
      </c>
      <c r="E444" t="s">
        <v>145</v>
      </c>
      <c r="F444">
        <v>500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 t="s">
        <v>146</v>
      </c>
      <c r="V444" t="s">
        <v>147</v>
      </c>
      <c r="W444" t="s">
        <v>179</v>
      </c>
      <c r="X444" t="s">
        <v>149</v>
      </c>
      <c r="Y444">
        <v>0</v>
      </c>
    </row>
    <row r="445" spans="1:25" x14ac:dyDescent="0.25">
      <c r="A445" t="s">
        <v>192</v>
      </c>
      <c r="B445">
        <v>3004</v>
      </c>
      <c r="C445">
        <v>1</v>
      </c>
      <c r="D445" t="s">
        <v>144</v>
      </c>
      <c r="E445" t="s">
        <v>188</v>
      </c>
      <c r="F445">
        <v>3000</v>
      </c>
      <c r="G445">
        <v>0</v>
      </c>
      <c r="H445">
        <v>0</v>
      </c>
      <c r="I445">
        <v>375</v>
      </c>
      <c r="J445">
        <v>0</v>
      </c>
      <c r="K445">
        <v>5</v>
      </c>
      <c r="L445">
        <v>5</v>
      </c>
      <c r="M445">
        <v>0</v>
      </c>
      <c r="N445">
        <v>400</v>
      </c>
      <c r="O445">
        <v>2400</v>
      </c>
      <c r="P445">
        <v>2400</v>
      </c>
      <c r="Q445">
        <v>0</v>
      </c>
      <c r="R445">
        <v>0</v>
      </c>
      <c r="S445">
        <v>43200</v>
      </c>
      <c r="T445">
        <v>0</v>
      </c>
      <c r="U445" t="s">
        <v>146</v>
      </c>
      <c r="V445" t="s">
        <v>147</v>
      </c>
      <c r="W445" t="s">
        <v>179</v>
      </c>
      <c r="X445" t="s">
        <v>149</v>
      </c>
      <c r="Y445">
        <v>0</v>
      </c>
    </row>
    <row r="446" spans="1:25" x14ac:dyDescent="0.25">
      <c r="A446" t="s">
        <v>193</v>
      </c>
      <c r="B446">
        <v>3005</v>
      </c>
      <c r="C446">
        <v>0</v>
      </c>
      <c r="D446" t="s">
        <v>144</v>
      </c>
      <c r="E446" t="s">
        <v>145</v>
      </c>
      <c r="F446">
        <v>500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 t="s">
        <v>146</v>
      </c>
      <c r="V446" t="s">
        <v>147</v>
      </c>
      <c r="W446" t="s">
        <v>179</v>
      </c>
      <c r="X446" t="s">
        <v>149</v>
      </c>
      <c r="Y446">
        <v>0</v>
      </c>
    </row>
    <row r="447" spans="1:25" x14ac:dyDescent="0.25">
      <c r="A447" t="s">
        <v>193</v>
      </c>
      <c r="B447">
        <v>3005</v>
      </c>
      <c r="C447">
        <v>1</v>
      </c>
      <c r="D447" t="s">
        <v>144</v>
      </c>
      <c r="E447" t="s">
        <v>188</v>
      </c>
      <c r="F447">
        <v>5760</v>
      </c>
      <c r="G447">
        <v>0</v>
      </c>
      <c r="H447">
        <v>0</v>
      </c>
      <c r="I447">
        <v>720</v>
      </c>
      <c r="J447">
        <v>0</v>
      </c>
      <c r="K447">
        <v>5</v>
      </c>
      <c r="L447">
        <v>5</v>
      </c>
      <c r="M447">
        <v>0</v>
      </c>
      <c r="N447">
        <v>1600</v>
      </c>
      <c r="O447">
        <v>9600</v>
      </c>
      <c r="P447">
        <v>9600</v>
      </c>
      <c r="Q447">
        <v>0</v>
      </c>
      <c r="R447">
        <v>0</v>
      </c>
      <c r="S447">
        <v>86400</v>
      </c>
      <c r="T447">
        <v>0</v>
      </c>
      <c r="U447" t="s">
        <v>146</v>
      </c>
      <c r="V447" t="s">
        <v>147</v>
      </c>
      <c r="W447" t="s">
        <v>179</v>
      </c>
      <c r="X447" t="s">
        <v>149</v>
      </c>
      <c r="Y447">
        <v>0</v>
      </c>
    </row>
    <row r="455" spans="12:15" x14ac:dyDescent="0.25">
      <c r="L455" s="3"/>
      <c r="M455" s="3"/>
      <c r="N455" s="13"/>
      <c r="O455" s="13"/>
    </row>
    <row r="456" spans="12:15" x14ac:dyDescent="0.25">
      <c r="L456" s="3"/>
      <c r="M456" s="3"/>
    </row>
    <row r="595" spans="8:17" x14ac:dyDescent="0.25">
      <c r="K595" t="s">
        <v>1</v>
      </c>
      <c r="L595" t="s">
        <v>0</v>
      </c>
      <c r="M595" t="s">
        <v>196</v>
      </c>
      <c r="N595" t="s">
        <v>2</v>
      </c>
      <c r="O595" t="s">
        <v>194</v>
      </c>
      <c r="P595" t="s">
        <v>199</v>
      </c>
      <c r="Q595" t="s">
        <v>200</v>
      </c>
    </row>
    <row r="596" spans="8:17" x14ac:dyDescent="0.25">
      <c r="H596" t="s">
        <v>132</v>
      </c>
      <c r="K596">
        <v>0.1</v>
      </c>
      <c r="L596" s="3">
        <v>0</v>
      </c>
      <c r="M596" s="3">
        <v>0</v>
      </c>
      <c r="N596">
        <v>0</v>
      </c>
      <c r="O596">
        <v>0</v>
      </c>
    </row>
    <row r="597" spans="8:17" x14ac:dyDescent="0.25">
      <c r="H597" t="s">
        <v>133</v>
      </c>
      <c r="K597">
        <v>0.22</v>
      </c>
      <c r="L597" s="3">
        <v>800</v>
      </c>
      <c r="M597" s="3">
        <v>800</v>
      </c>
      <c r="N597">
        <v>120</v>
      </c>
      <c r="O597">
        <v>20000</v>
      </c>
      <c r="P597">
        <v>154.08305000252898</v>
      </c>
      <c r="Q597">
        <v>742.08932811294903</v>
      </c>
    </row>
    <row r="598" spans="8:17" x14ac:dyDescent="0.25">
      <c r="H598" t="s">
        <v>198</v>
      </c>
      <c r="K598">
        <v>0.2</v>
      </c>
      <c r="L598" s="3">
        <v>600</v>
      </c>
      <c r="M598" s="3">
        <v>42.603812503161208</v>
      </c>
      <c r="N598">
        <v>150</v>
      </c>
      <c r="O598">
        <v>11280</v>
      </c>
      <c r="P598">
        <v>192.60381250316121</v>
      </c>
    </row>
    <row r="599" spans="8:17" x14ac:dyDescent="0.25">
      <c r="H599" t="s">
        <v>135</v>
      </c>
      <c r="K599">
        <v>0.1</v>
      </c>
      <c r="L599" s="3">
        <v>0</v>
      </c>
      <c r="M599" s="3">
        <v>0</v>
      </c>
      <c r="N599">
        <v>0</v>
      </c>
      <c r="O599">
        <v>0</v>
      </c>
    </row>
    <row r="600" spans="8:17" x14ac:dyDescent="0.25">
      <c r="M600">
        <v>0.2</v>
      </c>
    </row>
    <row r="601" spans="8:17" x14ac:dyDescent="0.25">
      <c r="L601" s="3">
        <v>1</v>
      </c>
      <c r="M601">
        <v>180.00000000000003</v>
      </c>
    </row>
    <row r="602" spans="8:17" x14ac:dyDescent="0.25">
      <c r="L602" s="3">
        <v>2</v>
      </c>
      <c r="M602">
        <v>519.01131396294056</v>
      </c>
    </row>
    <row r="603" spans="8:17" x14ac:dyDescent="0.25">
      <c r="L603" s="3">
        <v>3</v>
      </c>
      <c r="M603">
        <v>933.08066911880212</v>
      </c>
    </row>
    <row r="604" spans="8:17" x14ac:dyDescent="0.25">
      <c r="L604" s="3">
        <v>4</v>
      </c>
      <c r="M604">
        <v>1438.8261230830135</v>
      </c>
    </row>
    <row r="605" spans="8:17" x14ac:dyDescent="0.25">
      <c r="L605" s="3">
        <v>5</v>
      </c>
      <c r="M605">
        <v>2056.5450173228141</v>
      </c>
    </row>
    <row r="606" spans="8:17" x14ac:dyDescent="0.25">
      <c r="L606" s="3">
        <v>6</v>
      </c>
      <c r="M606">
        <v>2811.0285807634932</v>
      </c>
    </row>
    <row r="607" spans="8:17" x14ac:dyDescent="0.25">
      <c r="L607" s="3">
        <v>7</v>
      </c>
      <c r="M607">
        <v>3732.5568888828202</v>
      </c>
    </row>
    <row r="608" spans="8:17" x14ac:dyDescent="0.25">
      <c r="L608" s="3">
        <v>8</v>
      </c>
      <c r="M608">
        <v>4858.1141094968625</v>
      </c>
    </row>
    <row r="609" spans="12:13" x14ac:dyDescent="0.25">
      <c r="L609" s="3">
        <v>9</v>
      </c>
      <c r="M609">
        <v>6232.8728073190505</v>
      </c>
    </row>
    <row r="610" spans="12:13" x14ac:dyDescent="0.25">
      <c r="L610" s="3">
        <v>10</v>
      </c>
      <c r="M610">
        <v>7912.006877647962</v>
      </c>
    </row>
    <row r="611" spans="12:13" x14ac:dyDescent="0.25">
      <c r="L611" s="3">
        <v>11</v>
      </c>
      <c r="M611">
        <v>9962.905868580563</v>
      </c>
    </row>
    <row r="612" spans="12:13" x14ac:dyDescent="0.25">
      <c r="L612" s="3">
        <v>12</v>
      </c>
      <c r="M612">
        <v>12467.879560278956</v>
      </c>
    </row>
    <row r="613" spans="12:13" x14ac:dyDescent="0.25">
      <c r="L613" s="3">
        <v>13</v>
      </c>
      <c r="M613">
        <v>15527.461345556298</v>
      </c>
    </row>
    <row r="614" spans="12:13" x14ac:dyDescent="0.25">
      <c r="L614" s="3">
        <v>14</v>
      </c>
      <c r="M614">
        <v>19264.442988047733</v>
      </c>
    </row>
    <row r="615" spans="12:13" x14ac:dyDescent="0.25">
      <c r="L615" s="3">
        <v>15</v>
      </c>
      <c r="M615">
        <v>23828.802686983545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Cost And Time</vt:lpstr>
      <vt:lpstr>Stats</vt:lpstr>
      <vt:lpstr>Full</vt:lpstr>
      <vt:lpstr>Sheet1</vt:lpstr>
      <vt:lpstr>BuildingType</vt:lpstr>
    </vt:vector>
  </TitlesOfParts>
  <Company>ILS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</dc:creator>
  <cp:lastModifiedBy>OscarMike</cp:lastModifiedBy>
  <dcterms:created xsi:type="dcterms:W3CDTF">2009-08-16T18:04:36Z</dcterms:created>
  <dcterms:modified xsi:type="dcterms:W3CDTF">2014-05-04T18:57:01Z</dcterms:modified>
</cp:coreProperties>
</file>
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1425" yWindow="0" windowWidth="17805" windowHeight="7485"/>
  </bookViews>
  <sheets>
    <sheet name="Sheet1" sheetId="1" r:id="rId1"/>
    <sheet name="Sheet2" sheetId="2" r:id="rId2"/>
    <sheet name="Sheet3" sheetId="3" r:id="rId3"/>
  </sheets>
  <calcPr calcId="152511"/>
</workbook>
</file>

<file path=xl/calcChain.xml><?xml version="1.0" encoding="utf-8"?>
<calcChain xmlns="http://schemas.openxmlformats.org/spreadsheetml/2006/main">
  <c r="AA5" i="1" l="1"/>
  <c r="Z5" i="1"/>
  <c r="Y5" i="1"/>
  <c r="X5" i="1"/>
  <c r="O9" i="1" l="1"/>
  <c r="P9" i="1"/>
  <c r="O10" i="1"/>
  <c r="P10" i="1"/>
  <c r="O11" i="1"/>
  <c r="P11" i="1"/>
  <c r="O12" i="1"/>
  <c r="P12" i="1"/>
  <c r="O13" i="1"/>
  <c r="P13" i="1"/>
  <c r="O14" i="1"/>
  <c r="P14" i="1"/>
  <c r="O15" i="1"/>
  <c r="P15" i="1"/>
  <c r="O16" i="1"/>
  <c r="P16" i="1"/>
  <c r="O17" i="1"/>
  <c r="P17" i="1"/>
  <c r="O8" i="1"/>
  <c r="P8" i="1"/>
  <c r="N8" i="1"/>
  <c r="M8" i="1" l="1"/>
  <c r="K8" i="1"/>
  <c r="J8" i="1"/>
  <c r="AH8" i="1"/>
  <c r="AH9" i="1" s="1"/>
  <c r="AH10" i="1" s="1"/>
  <c r="AH11" i="1" s="1"/>
  <c r="AH12" i="1" s="1"/>
  <c r="AG8" i="1"/>
  <c r="AG9" i="1" s="1"/>
  <c r="AG10" i="1" s="1"/>
  <c r="AG11" i="1" s="1"/>
  <c r="AG12" i="1" s="1"/>
  <c r="AG13" i="1" s="1"/>
  <c r="AG14" i="1" s="1"/>
  <c r="AG15" i="1" s="1"/>
  <c r="AG16" i="1" s="1"/>
  <c r="AG17" i="1" s="1"/>
  <c r="AH13" i="1" l="1"/>
  <c r="AH14" i="1" s="1"/>
  <c r="AH15" i="1" s="1"/>
  <c r="AH16" i="1" s="1"/>
  <c r="AH17" i="1" s="1"/>
  <c r="Z8" i="1"/>
  <c r="Z9" i="1" s="1"/>
  <c r="Z10" i="1" s="1"/>
  <c r="Z11" i="1" s="1"/>
  <c r="Z12" i="1" s="1"/>
  <c r="Z13" i="1" s="1"/>
  <c r="Z14" i="1" s="1"/>
  <c r="Z15" i="1" s="1"/>
  <c r="Z16" i="1" s="1"/>
  <c r="Z17" i="1" s="1"/>
  <c r="X8" i="1"/>
  <c r="X9" i="1" s="1"/>
  <c r="X10" i="1" s="1"/>
  <c r="X11" i="1" s="1"/>
  <c r="X12" i="1" s="1"/>
  <c r="X13" i="1" s="1"/>
  <c r="X14" i="1" s="1"/>
  <c r="X15" i="1" s="1"/>
  <c r="X16" i="1" s="1"/>
  <c r="X17" i="1" s="1"/>
  <c r="AC8" i="1"/>
  <c r="AC9" i="1" s="1"/>
  <c r="AC10" i="1" s="1"/>
  <c r="AC11" i="1" s="1"/>
  <c r="AC12" i="1" s="1"/>
  <c r="AC13" i="1" s="1"/>
  <c r="AC14" i="1" s="1"/>
  <c r="AC15" i="1" s="1"/>
  <c r="AC16" i="1" s="1"/>
  <c r="AC17" i="1" s="1"/>
  <c r="AW18" i="1"/>
  <c r="AR18" i="1"/>
  <c r="AW17" i="1"/>
  <c r="AR17" i="1"/>
  <c r="AW16" i="1"/>
  <c r="AR16" i="1"/>
  <c r="AW15" i="1"/>
  <c r="AR15" i="1"/>
  <c r="AW14" i="1"/>
  <c r="AR14" i="1"/>
  <c r="AW13" i="1"/>
  <c r="AR13" i="1"/>
  <c r="AW12" i="1"/>
  <c r="AR12" i="1"/>
  <c r="AW11" i="1"/>
  <c r="AR11" i="1"/>
  <c r="AW10" i="1"/>
  <c r="AR10" i="1"/>
  <c r="AW9" i="1"/>
  <c r="AR9" i="1"/>
  <c r="AE8" i="1"/>
  <c r="AE9" i="1" s="1"/>
  <c r="AD8" i="1"/>
  <c r="AD9" i="1" s="1"/>
  <c r="AB8" i="1"/>
  <c r="AB9" i="1" s="1"/>
  <c r="AB10" i="1" s="1"/>
  <c r="AB11" i="1" s="1"/>
  <c r="AB12" i="1" s="1"/>
  <c r="AB13" i="1" s="1"/>
  <c r="AB14" i="1" s="1"/>
  <c r="AB15" i="1" s="1"/>
  <c r="AB16" i="1" s="1"/>
  <c r="AB17" i="1" s="1"/>
  <c r="AA8" i="1"/>
  <c r="AA9" i="1" s="1"/>
  <c r="AA10" i="1" s="1"/>
  <c r="AA11" i="1" s="1"/>
  <c r="AA12" i="1" s="1"/>
  <c r="AA13" i="1" s="1"/>
  <c r="AA14" i="1" s="1"/>
  <c r="AA15" i="1" s="1"/>
  <c r="AA16" i="1" s="1"/>
  <c r="AA17" i="1" s="1"/>
  <c r="Y8" i="1"/>
  <c r="Y9" i="1" s="1"/>
  <c r="Y10" i="1" s="1"/>
  <c r="Y11" i="1" s="1"/>
  <c r="Y12" i="1" s="1"/>
  <c r="Y13" i="1" s="1"/>
  <c r="Y14" i="1" s="1"/>
  <c r="Y15" i="1" s="1"/>
  <c r="Y16" i="1" s="1"/>
  <c r="Y17" i="1" s="1"/>
  <c r="W8" i="1"/>
  <c r="W9" i="1" s="1"/>
  <c r="W10" i="1" s="1"/>
  <c r="W11" i="1" s="1"/>
  <c r="W12" i="1" s="1"/>
  <c r="W13" i="1" s="1"/>
  <c r="W14" i="1" s="1"/>
  <c r="W15" i="1" s="1"/>
  <c r="W16" i="1" s="1"/>
  <c r="W17" i="1" s="1"/>
  <c r="V8" i="1"/>
  <c r="V9" i="1" s="1"/>
  <c r="V10" i="1" s="1"/>
  <c r="V11" i="1" s="1"/>
  <c r="V12" i="1" s="1"/>
  <c r="V13" i="1" s="1"/>
  <c r="V14" i="1" s="1"/>
  <c r="V15" i="1" s="1"/>
  <c r="V16" i="1" s="1"/>
  <c r="V17" i="1" s="1"/>
  <c r="U8" i="1"/>
  <c r="U9" i="1" s="1"/>
  <c r="U10" i="1" s="1"/>
  <c r="U11" i="1" s="1"/>
  <c r="U12" i="1" s="1"/>
  <c r="U13" i="1" s="1"/>
  <c r="U14" i="1" s="1"/>
  <c r="U15" i="1" s="1"/>
  <c r="U16" i="1" s="1"/>
  <c r="U17" i="1" s="1"/>
  <c r="T8" i="1"/>
  <c r="T9" i="1" s="1"/>
  <c r="T10" i="1" s="1"/>
  <c r="T11" i="1" s="1"/>
  <c r="T12" i="1" s="1"/>
  <c r="T13" i="1" s="1"/>
  <c r="T14" i="1" s="1"/>
  <c r="T15" i="1" s="1"/>
  <c r="T16" i="1" s="1"/>
  <c r="T17" i="1" s="1"/>
  <c r="S8" i="1"/>
  <c r="S9" i="1" s="1"/>
  <c r="S10" i="1" s="1"/>
  <c r="S11" i="1" s="1"/>
  <c r="S12" i="1" s="1"/>
  <c r="S13" i="1" s="1"/>
  <c r="S14" i="1" s="1"/>
  <c r="S15" i="1" s="1"/>
  <c r="S16" i="1" s="1"/>
  <c r="S17" i="1" s="1"/>
  <c r="R8" i="1"/>
  <c r="Q8" i="1"/>
  <c r="Q9" i="1" s="1"/>
  <c r="N9" i="1"/>
  <c r="N10" i="1" s="1"/>
  <c r="N11" i="1" s="1"/>
  <c r="N12" i="1" s="1"/>
  <c r="N13" i="1" s="1"/>
  <c r="N14" i="1" s="1"/>
  <c r="N15" i="1" s="1"/>
  <c r="N16" i="1" s="1"/>
  <c r="N17" i="1" s="1"/>
  <c r="M9" i="1"/>
  <c r="M10" i="1" s="1"/>
  <c r="M11" i="1" s="1"/>
  <c r="M12" i="1" s="1"/>
  <c r="M13" i="1" s="1"/>
  <c r="M14" i="1" s="1"/>
  <c r="M15" i="1" s="1"/>
  <c r="M16" i="1" s="1"/>
  <c r="M17" i="1" s="1"/>
  <c r="L8" i="1"/>
  <c r="L9" i="1" s="1"/>
  <c r="L10" i="1" s="1"/>
  <c r="L11" i="1" s="1"/>
  <c r="L12" i="1" s="1"/>
  <c r="L13" i="1" s="1"/>
  <c r="L14" i="1" s="1"/>
  <c r="L15" i="1" s="1"/>
  <c r="L16" i="1" s="1"/>
  <c r="L17" i="1" s="1"/>
  <c r="K9" i="1"/>
  <c r="K10" i="1" s="1"/>
  <c r="K11" i="1" s="1"/>
  <c r="K12" i="1" s="1"/>
  <c r="K13" i="1" s="1"/>
  <c r="K14" i="1" s="1"/>
  <c r="K15" i="1" s="1"/>
  <c r="K16" i="1" s="1"/>
  <c r="K17" i="1" s="1"/>
  <c r="J9" i="1"/>
  <c r="J10" i="1" s="1"/>
  <c r="J11" i="1" s="1"/>
  <c r="J12" i="1" s="1"/>
  <c r="J13" i="1" s="1"/>
  <c r="J14" i="1" s="1"/>
  <c r="J15" i="1" s="1"/>
  <c r="J16" i="1" s="1"/>
  <c r="J17" i="1" s="1"/>
  <c r="I8" i="1"/>
  <c r="I9" i="1" s="1"/>
  <c r="I10" i="1" s="1"/>
  <c r="I11" i="1" s="1"/>
  <c r="I12" i="1" s="1"/>
  <c r="I13" i="1" s="1"/>
  <c r="I14" i="1" s="1"/>
  <c r="I15" i="1" s="1"/>
  <c r="I16" i="1" s="1"/>
  <c r="I17" i="1" s="1"/>
  <c r="H8" i="1"/>
  <c r="H9" i="1" s="1"/>
  <c r="H10" i="1" s="1"/>
  <c r="H11" i="1" s="1"/>
  <c r="H12" i="1" s="1"/>
  <c r="H13" i="1" s="1"/>
  <c r="H14" i="1" s="1"/>
  <c r="H15" i="1" s="1"/>
  <c r="H16" i="1" s="1"/>
  <c r="H17" i="1" s="1"/>
  <c r="G8" i="1"/>
  <c r="G9" i="1" s="1"/>
  <c r="G10" i="1" s="1"/>
  <c r="G11" i="1" s="1"/>
  <c r="G12" i="1" s="1"/>
  <c r="G13" i="1" s="1"/>
  <c r="G14" i="1" s="1"/>
  <c r="G15" i="1" s="1"/>
  <c r="G16" i="1" s="1"/>
  <c r="G17" i="1" s="1"/>
  <c r="F8" i="1"/>
  <c r="F9" i="1" s="1"/>
  <c r="F10" i="1" s="1"/>
  <c r="F11" i="1" s="1"/>
  <c r="F12" i="1" s="1"/>
  <c r="F13" i="1" s="1"/>
  <c r="F14" i="1" s="1"/>
  <c r="F15" i="1" s="1"/>
  <c r="F16" i="1" s="1"/>
  <c r="F17" i="1" s="1"/>
  <c r="E8" i="1"/>
  <c r="E9" i="1" s="1"/>
  <c r="E10" i="1" s="1"/>
  <c r="E11" i="1" s="1"/>
  <c r="E12" i="1" s="1"/>
  <c r="E13" i="1" s="1"/>
  <c r="E14" i="1" s="1"/>
  <c r="E15" i="1" s="1"/>
  <c r="E16" i="1" s="1"/>
  <c r="E17" i="1" s="1"/>
  <c r="D8" i="1"/>
  <c r="D9" i="1" s="1"/>
  <c r="D10" i="1" s="1"/>
  <c r="D11" i="1" s="1"/>
  <c r="D12" i="1" s="1"/>
  <c r="D13" i="1" s="1"/>
  <c r="D14" i="1" s="1"/>
  <c r="D15" i="1" s="1"/>
  <c r="D16" i="1" s="1"/>
  <c r="D17" i="1" s="1"/>
  <c r="C8" i="1"/>
  <c r="C9" i="1" s="1"/>
  <c r="C10" i="1" s="1"/>
  <c r="C11" i="1" s="1"/>
  <c r="C12" i="1" s="1"/>
  <c r="C13" i="1" s="1"/>
  <c r="C14" i="1" s="1"/>
  <c r="C15" i="1" s="1"/>
  <c r="C16" i="1" s="1"/>
  <c r="C17" i="1" s="1"/>
  <c r="B8" i="1"/>
  <c r="B9" i="1" s="1"/>
  <c r="A8" i="1"/>
  <c r="A9" i="1" s="1"/>
  <c r="A10" i="1" s="1"/>
  <c r="A11" i="1" s="1"/>
  <c r="A12" i="1" s="1"/>
  <c r="A13" i="1" s="1"/>
  <c r="A14" i="1" s="1"/>
  <c r="A15" i="1" s="1"/>
  <c r="A16" i="1" s="1"/>
  <c r="A17" i="1" s="1"/>
  <c r="Q10" i="1" l="1"/>
  <c r="Q11" i="1" s="1"/>
  <c r="AD10" i="1"/>
  <c r="AD11" i="1" s="1"/>
  <c r="AD12" i="1" s="1"/>
  <c r="AD13" i="1" s="1"/>
  <c r="AD14" i="1" s="1"/>
  <c r="AD15" i="1" s="1"/>
  <c r="AD16" i="1" s="1"/>
  <c r="AD17" i="1" s="1"/>
  <c r="AF8" i="1"/>
  <c r="AF9" i="1" s="1"/>
  <c r="AF10" i="1" s="1"/>
  <c r="AF11" i="1" s="1"/>
  <c r="AF12" i="1" s="1"/>
  <c r="AF13" i="1" s="1"/>
  <c r="AF14" i="1" s="1"/>
  <c r="AF15" i="1" s="1"/>
  <c r="AF16" i="1" s="1"/>
  <c r="AF17" i="1" s="1"/>
  <c r="AI8" i="1"/>
  <c r="AK8" i="1"/>
  <c r="B10" i="1"/>
  <c r="AE10" i="1"/>
  <c r="AI9" i="1"/>
  <c r="R9" i="1"/>
  <c r="Q12" i="1" l="1"/>
  <c r="Q13" i="1" s="1"/>
  <c r="AJ8" i="1"/>
  <c r="AL8" i="1" s="1"/>
  <c r="AJ9" i="1"/>
  <c r="AK9" i="1"/>
  <c r="R10" i="1"/>
  <c r="AE11" i="1"/>
  <c r="AI10" i="1"/>
  <c r="B11" i="1"/>
  <c r="AJ10" i="1"/>
  <c r="Q14" i="1" l="1"/>
  <c r="Q15" i="1" s="1"/>
  <c r="Q16" i="1" s="1"/>
  <c r="Q17" i="1" s="1"/>
  <c r="AL9" i="1"/>
  <c r="AK10" i="1"/>
  <c r="AL10" i="1" s="1"/>
  <c r="R11" i="1"/>
  <c r="B12" i="1"/>
  <c r="AJ11" i="1"/>
  <c r="AE12" i="1"/>
  <c r="AI11" i="1"/>
  <c r="AK11" i="1" l="1"/>
  <c r="AL11" i="1" s="1"/>
  <c r="R12" i="1"/>
  <c r="AE13" i="1"/>
  <c r="AI12" i="1"/>
  <c r="B13" i="1"/>
  <c r="AJ12" i="1"/>
  <c r="B14" i="1" l="1"/>
  <c r="AJ13" i="1"/>
  <c r="AE14" i="1"/>
  <c r="AI13" i="1"/>
  <c r="AK12" i="1"/>
  <c r="AL12" i="1" s="1"/>
  <c r="R13" i="1"/>
  <c r="AK13" i="1" l="1"/>
  <c r="AL13" i="1" s="1"/>
  <c r="R14" i="1"/>
  <c r="AE15" i="1"/>
  <c r="AI14" i="1"/>
  <c r="B15" i="1"/>
  <c r="AJ14" i="1"/>
  <c r="AK14" i="1" l="1"/>
  <c r="AL14" i="1" s="1"/>
  <c r="R15" i="1"/>
  <c r="B16" i="1"/>
  <c r="AJ15" i="1"/>
  <c r="AE16" i="1"/>
  <c r="AI15" i="1"/>
  <c r="AK15" i="1" l="1"/>
  <c r="AL15" i="1" s="1"/>
  <c r="R16" i="1"/>
  <c r="AE17" i="1"/>
  <c r="AI17" i="1" s="1"/>
  <c r="AI16" i="1"/>
  <c r="B17" i="1"/>
  <c r="AJ17" i="1" s="1"/>
  <c r="AJ16" i="1"/>
  <c r="AK16" i="1" l="1"/>
  <c r="AL16" i="1" s="1"/>
  <c r="R17" i="1"/>
  <c r="AK17" i="1" s="1"/>
  <c r="AL17" i="1" s="1"/>
</calcChain>
</file>

<file path=xl/sharedStrings.xml><?xml version="1.0" encoding="utf-8"?>
<sst xmlns="http://schemas.openxmlformats.org/spreadsheetml/2006/main" count="1225" uniqueCount="107">
  <si>
    <t>Name</t>
  </si>
  <si>
    <t>Type</t>
  </si>
  <si>
    <t>Lvl</t>
  </si>
  <si>
    <t>Weapon</t>
  </si>
  <si>
    <t>Armor</t>
  </si>
  <si>
    <t>Class</t>
  </si>
  <si>
    <t>SpriteClass</t>
  </si>
  <si>
    <t>Hp</t>
  </si>
  <si>
    <t>Atk</t>
  </si>
  <si>
    <t>Def</t>
  </si>
  <si>
    <t>Vsn</t>
  </si>
  <si>
    <t>Stl</t>
  </si>
  <si>
    <t>Rng</t>
  </si>
  <si>
    <t>Spd</t>
  </si>
  <si>
    <t>Crop</t>
  </si>
  <si>
    <t>Gold</t>
  </si>
  <si>
    <t>Iron</t>
  </si>
  <si>
    <t>Wood</t>
  </si>
  <si>
    <t>Time</t>
  </si>
  <si>
    <t>UpgrdCrop</t>
  </si>
  <si>
    <t>UpgrdGold</t>
  </si>
  <si>
    <t>UpgrdIron</t>
  </si>
  <si>
    <t>UpgrdWood</t>
  </si>
  <si>
    <t>UpgrdTime</t>
  </si>
  <si>
    <t>GrpSize</t>
  </si>
  <si>
    <t>Upkeep</t>
  </si>
  <si>
    <t>Impact</t>
  </si>
  <si>
    <t>Cost</t>
  </si>
  <si>
    <t>Efficiency</t>
  </si>
  <si>
    <t>Sword</t>
  </si>
  <si>
    <t>UNIT</t>
  </si>
  <si>
    <t>Labor</t>
  </si>
  <si>
    <t>UpgrdLabor</t>
  </si>
  <si>
    <t>EPU</t>
  </si>
  <si>
    <t>Leather</t>
  </si>
  <si>
    <t>SWORDSMAN_UNIT</t>
  </si>
  <si>
    <t>Modifiers</t>
  </si>
  <si>
    <t>Bow</t>
  </si>
  <si>
    <t>ARCHER_UNIT</t>
  </si>
  <si>
    <t>Metal</t>
  </si>
  <si>
    <t>HEAVY_SWORDSMAN_UNIT</t>
  </si>
  <si>
    <t>Pike</t>
  </si>
  <si>
    <t>PIKEMAN_UNIT</t>
  </si>
  <si>
    <t>Wooden</t>
  </si>
  <si>
    <t>HELEPOLIS_UNIT</t>
  </si>
  <si>
    <t>CATAPULT_UNIT</t>
  </si>
  <si>
    <t>Unit</t>
  </si>
  <si>
    <t>Per</t>
  </si>
  <si>
    <t>Corp</t>
  </si>
  <si>
    <t>HP</t>
  </si>
  <si>
    <t>Ucorp</t>
  </si>
  <si>
    <t>Ugold</t>
  </si>
  <si>
    <t>Uiron</t>
  </si>
  <si>
    <t>Uwood</t>
  </si>
  <si>
    <t>Utime</t>
  </si>
  <si>
    <t>CHEAP_UNIT</t>
  </si>
  <si>
    <t>NORMAL_UNIT</t>
  </si>
  <si>
    <t>Carry</t>
  </si>
  <si>
    <t>1_SWORDSMAN</t>
  </si>
  <si>
    <t>Basic</t>
  </si>
  <si>
    <t>Ground</t>
  </si>
  <si>
    <t>1_ARCHER</t>
  </si>
  <si>
    <t>1_PIKEMAN</t>
  </si>
  <si>
    <t>1_GLADIATOR</t>
  </si>
  <si>
    <t>Elemental</t>
  </si>
  <si>
    <t>Mount</t>
  </si>
  <si>
    <t>1_HELEPOLIS</t>
  </si>
  <si>
    <t>Machine</t>
  </si>
  <si>
    <t>Stone</t>
  </si>
  <si>
    <t>1_CATAPULT</t>
  </si>
  <si>
    <t>Ball</t>
  </si>
  <si>
    <t>WpnClass</t>
  </si>
  <si>
    <t>ArmrClass</t>
  </si>
  <si>
    <t>////////////////////////////////////////////////////////////////////////////////////////////////////////////////////////////////////////</t>
  </si>
  <si>
    <t>2_SWORDSMAN</t>
  </si>
  <si>
    <t>2_ARCHER</t>
  </si>
  <si>
    <t>2_FIRE_ARCHER</t>
  </si>
  <si>
    <t>2_CROSSBOW</t>
  </si>
  <si>
    <t>2_HELEPOLIS</t>
  </si>
  <si>
    <t>2_CATAPULT</t>
  </si>
  <si>
    <t>3_SWORDSMAN</t>
  </si>
  <si>
    <t>3_ARCHER</t>
  </si>
  <si>
    <t>3_ELEPHANT</t>
  </si>
  <si>
    <t>3_HELEPOLIS</t>
  </si>
  <si>
    <t>3_CATAPULT</t>
  </si>
  <si>
    <t>BUILDING</t>
  </si>
  <si>
    <t>Building</t>
  </si>
  <si>
    <t>0_FIGHTER</t>
  </si>
  <si>
    <t>0_BOWMAN</t>
  </si>
  <si>
    <t>1_OXWAGON</t>
  </si>
  <si>
    <t>OXWAGON_UNIT</t>
  </si>
  <si>
    <t>1_CAVALRY</t>
  </si>
  <si>
    <t>CAVALRY_UNIT</t>
  </si>
  <si>
    <t>2_CAVALRY</t>
  </si>
  <si>
    <t>2_BOW_CAVALRY</t>
  </si>
  <si>
    <t>3_CAVALRY</t>
  </si>
  <si>
    <t>3_BOW_CAVALRY</t>
  </si>
  <si>
    <t>3_HEAVY_CAVALRY</t>
  </si>
  <si>
    <t>1_HEAVY_CAVALRY</t>
  </si>
  <si>
    <t>HEAVY_CAVALRY_UNIT</t>
  </si>
  <si>
    <t>Growth</t>
  </si>
  <si>
    <t>FIGHTER_UNIT</t>
  </si>
  <si>
    <t>BOWMAN_UNIT</t>
  </si>
  <si>
    <t>WAGON_UNIT</t>
  </si>
  <si>
    <t>UnitEquivalent</t>
  </si>
  <si>
    <t>Splash</t>
  </si>
  <si>
    <t>MACHINE_UNIT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</si>
</sst>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11">
    <xf numFmtId="0" fontId="0" fillId="0" borderId="0" xfId="0"/>
    <xf numFmtId="1" fontId="0" fillId="0" borderId="0" xfId="0" applyNumberFormat="1"/>
    <xf numFmtId="0" fontId="0" fillId="0" borderId="1" xfId="0" applyBorder="1"/>
    <xf numFmtId="2" fontId="0" fillId="0" borderId="0" xfId="0" applyNumberFormat="1"/>
    <xf numFmtId="0" fontId="0" fillId="0" borderId="0" xfId="0" applyBorder="1"/>
    <xf numFmtId="0" fontId="1" fillId="0" borderId="0" xfId="0" applyFont="1" applyBorder="1"/>
    <xf numFmtId="0" fontId="1" fillId="0" borderId="0" xfId="0" applyFont="1"/>
    <xf numFmtId="1" fontId="0" fillId="0" borderId="0" xfId="0" applyNumberFormat="1" applyBorder="1"/>
    <xf numFmtId="0" fontId="0" fillId="0" borderId="0" xfId="0" applyFill="1" applyBorder="1"/>
    <xf numFmtId="164" fontId="0" fillId="0" borderId="0" xfId="0" applyNumberFormat="1" applyBorder="1"/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AW75"/>
  <sheetViews>
    <sheetView tabSelected="1" topLeftCell="A2" zoomScale="75" zoomScaleNormal="75" workbookViewId="0">
      <pane xSplit="5085" ySplit="4275" topLeftCell="B25" activePane="bottomRight"/>
      <selection activeCell="A5" sqref="A5:XFD5"/>
      <selection pane="topRight" activeCell="V7" sqref="V7"/>
      <selection pane="bottomLeft" activeCell="A41" sqref="A41:XFD41"/>
      <selection pane="bottomRight" activeCell="R42" sqref="R42"/>
    </sheetView>
  </sheetViews>
  <sheetFormatPr defaultRowHeight="15" x14ac:dyDescent="0.25"/>
  <cols>
    <col min="1" max="1" width="18.140625" bestFit="1" customWidth="1"/>
    <col min="2" max="2" width="5.85546875" bestFit="1" customWidth="1"/>
    <col min="3" max="3" width="8.7109375" customWidth="1"/>
    <col min="4" max="4" width="8.42578125" bestFit="1" customWidth="1"/>
    <col min="5" max="5" width="15.5703125" customWidth="1"/>
    <col min="6" max="6" width="7.7109375" bestFit="1" customWidth="1"/>
    <col min="7" max="7" width="14.140625" customWidth="1"/>
    <col min="8" max="8" width="5.42578125" bestFit="1" customWidth="1"/>
    <col min="9" max="9" width="18.7109375" bestFit="1" customWidth="1"/>
    <col min="10" max="10" width="6.42578125" bestFit="1" customWidth="1"/>
    <col min="11" max="11" width="21.5703125" bestFit="1" customWidth="1"/>
    <col min="12" max="12" width="6.85546875" customWidth="1"/>
    <col min="13" max="13" width="4.28515625" bestFit="1" customWidth="1"/>
    <col min="14" max="14" width="4.42578125" bestFit="1" customWidth="1"/>
    <col min="15" max="15" width="4.7109375" bestFit="1" customWidth="1"/>
    <col min="16" max="17" width="4.42578125" bestFit="1" customWidth="1"/>
    <col min="18" max="19" width="5.28515625" bestFit="1" customWidth="1"/>
    <col min="20" max="20" width="4.7109375" bestFit="1" customWidth="1"/>
    <col min="21" max="21" width="6.42578125" bestFit="1" customWidth="1"/>
    <col min="22" max="22" width="6" bestFit="1" customWidth="1"/>
    <col min="23" max="23" width="7.140625" bestFit="1" customWidth="1"/>
    <col min="24" max="25" width="10.5703125" bestFit="1" customWidth="1"/>
    <col min="26" max="26" width="5" customWidth="1"/>
    <col min="27" max="27" width="6.7109375" customWidth="1"/>
    <col min="28" max="28" width="11.28515625" bestFit="1" customWidth="1"/>
    <col min="29" max="29" width="10.85546875" bestFit="1" customWidth="1"/>
    <col min="30" max="30" width="7.85546875" bestFit="1" customWidth="1"/>
    <col min="31" max="31" width="8" bestFit="1" customWidth="1"/>
    <col min="32" max="32" width="7.85546875" customWidth="1"/>
    <col min="33" max="33" width="16.28515625" bestFit="1" customWidth="1"/>
    <col min="34" max="34" width="16.28515625" customWidth="1"/>
    <col min="35" max="35" width="9.140625" style="1" customWidth="1"/>
    <col min="36" max="36" width="8.5703125" bestFit="1" customWidth="1"/>
    <col min="37" max="37" width="6.7109375" bestFit="1" customWidth="1"/>
    <col min="38" max="38" width="9.7109375" bestFit="1" customWidth="1"/>
  </cols>
  <sheetData>
    <row r="2" spans="1:49" x14ac:dyDescent="0.25">
      <c r="F2" t="s">
        <v>5</v>
      </c>
      <c r="G2" t="s">
        <v>4</v>
      </c>
    </row>
    <row r="3" spans="1:49" x14ac:dyDescent="0.25">
      <c r="A3" t="s">
        <v>0</v>
      </c>
      <c r="B3" t="s">
        <v>1</v>
      </c>
      <c r="C3" t="s">
        <v>2</v>
      </c>
      <c r="D3" t="s">
        <v>3</v>
      </c>
      <c r="E3" t="s">
        <v>71</v>
      </c>
      <c r="F3" t="s">
        <v>4</v>
      </c>
      <c r="G3" t="s">
        <v>72</v>
      </c>
      <c r="H3" t="s">
        <v>5</v>
      </c>
      <c r="I3" t="s">
        <v>6</v>
      </c>
      <c r="J3" t="s">
        <v>7</v>
      </c>
      <c r="K3" t="s">
        <v>8</v>
      </c>
      <c r="L3" t="s">
        <v>105</v>
      </c>
      <c r="M3" t="s">
        <v>9</v>
      </c>
      <c r="N3" t="s">
        <v>10</v>
      </c>
      <c r="O3" t="s">
        <v>11</v>
      </c>
      <c r="P3" t="s">
        <v>12</v>
      </c>
      <c r="Q3" t="s">
        <v>13</v>
      </c>
      <c r="R3" t="s">
        <v>14</v>
      </c>
      <c r="S3" t="s">
        <v>15</v>
      </c>
      <c r="T3" t="s">
        <v>16</v>
      </c>
      <c r="U3" t="s">
        <v>17</v>
      </c>
      <c r="V3" t="s">
        <v>31</v>
      </c>
      <c r="W3" t="s">
        <v>18</v>
      </c>
      <c r="X3" t="s">
        <v>19</v>
      </c>
      <c r="Y3" t="s">
        <v>20</v>
      </c>
      <c r="Z3" t="s">
        <v>21</v>
      </c>
      <c r="AA3" t="s">
        <v>22</v>
      </c>
      <c r="AB3" t="s">
        <v>32</v>
      </c>
      <c r="AC3" t="s">
        <v>23</v>
      </c>
      <c r="AD3" t="s">
        <v>24</v>
      </c>
      <c r="AE3" t="s">
        <v>25</v>
      </c>
      <c r="AF3" t="s">
        <v>57</v>
      </c>
      <c r="AG3" t="s">
        <v>100</v>
      </c>
      <c r="AH3" t="s">
        <v>104</v>
      </c>
      <c r="AI3" t="s">
        <v>33</v>
      </c>
      <c r="AJ3" t="s">
        <v>26</v>
      </c>
      <c r="AK3" t="s">
        <v>27</v>
      </c>
      <c r="AL3" t="s">
        <v>28</v>
      </c>
    </row>
    <row r="5" spans="1:49" x14ac:dyDescent="0.25">
      <c r="A5" t="s">
        <v>89</v>
      </c>
      <c r="B5">
        <v>401</v>
      </c>
      <c r="C5">
        <v>1</v>
      </c>
      <c r="D5" t="s">
        <v>29</v>
      </c>
      <c r="E5" t="s">
        <v>59</v>
      </c>
      <c r="F5" t="s">
        <v>65</v>
      </c>
      <c r="G5" t="s">
        <v>34</v>
      </c>
      <c r="H5" t="s">
        <v>30</v>
      </c>
      <c r="I5" t="s">
        <v>103</v>
      </c>
      <c r="J5">
        <v>70</v>
      </c>
      <c r="K5">
        <v>1</v>
      </c>
      <c r="L5">
        <v>1</v>
      </c>
      <c r="M5">
        <v>0</v>
      </c>
      <c r="N5">
        <v>0</v>
      </c>
      <c r="O5">
        <v>2</v>
      </c>
      <c r="P5">
        <v>1</v>
      </c>
      <c r="Q5">
        <v>10</v>
      </c>
      <c r="R5">
        <v>250</v>
      </c>
      <c r="S5">
        <v>15</v>
      </c>
      <c r="T5">
        <v>0</v>
      </c>
      <c r="U5">
        <v>100</v>
      </c>
      <c r="V5">
        <v>2</v>
      </c>
      <c r="W5">
        <v>2800</v>
      </c>
      <c r="X5">
        <f>5/$AE5*R5</f>
        <v>625</v>
      </c>
      <c r="Y5">
        <f t="shared" ref="Y5" si="0">5/$AE5*S5</f>
        <v>37.5</v>
      </c>
      <c r="Z5">
        <f t="shared" ref="Z5" si="1">5/$AE5*T5</f>
        <v>0</v>
      </c>
      <c r="AA5">
        <f t="shared" ref="AA5" si="2">5/$AE5*U5</f>
        <v>250</v>
      </c>
      <c r="AB5">
        <v>0</v>
      </c>
      <c r="AC5">
        <v>21600</v>
      </c>
      <c r="AD5">
        <v>10</v>
      </c>
      <c r="AE5">
        <v>2</v>
      </c>
      <c r="AF5">
        <v>60</v>
      </c>
      <c r="AG5" t="s">
        <v>90</v>
      </c>
      <c r="AH5">
        <v>1</v>
      </c>
      <c r="AI5"/>
    </row>
    <row r="6" spans="1:49" x14ac:dyDescent="0.25">
      <c r="I6" t="s">
        <v>90</v>
      </c>
      <c r="J6">
        <v>8</v>
      </c>
      <c r="K6">
        <v>5</v>
      </c>
      <c r="L6">
        <v>0</v>
      </c>
      <c r="M6">
        <v>2</v>
      </c>
      <c r="N6">
        <v>2</v>
      </c>
      <c r="O6">
        <v>2</v>
      </c>
      <c r="P6">
        <v>2</v>
      </c>
      <c r="Q6">
        <v>1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40</v>
      </c>
      <c r="Y6">
        <v>40</v>
      </c>
      <c r="Z6">
        <v>40</v>
      </c>
      <c r="AA6">
        <v>40</v>
      </c>
      <c r="AB6">
        <v>0</v>
      </c>
      <c r="AC6">
        <v>30</v>
      </c>
      <c r="AD6">
        <v>8</v>
      </c>
      <c r="AE6">
        <v>0</v>
      </c>
      <c r="AF6">
        <v>15</v>
      </c>
      <c r="AJ6" s="1"/>
      <c r="AK6" s="1"/>
      <c r="AL6" s="3"/>
    </row>
    <row r="7" spans="1:49" x14ac:dyDescent="0.25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J7" s="1"/>
      <c r="AK7" s="1"/>
      <c r="AL7" s="3"/>
    </row>
    <row r="8" spans="1:49" s="2" customFormat="1" x14ac:dyDescent="0.25">
      <c r="A8" s="4" t="str">
        <f t="shared" ref="A8:I8" si="3">A5</f>
        <v>1_OXWAGON</v>
      </c>
      <c r="B8" s="4">
        <f t="shared" si="3"/>
        <v>401</v>
      </c>
      <c r="C8" s="4">
        <f t="shared" si="3"/>
        <v>1</v>
      </c>
      <c r="D8" s="4" t="str">
        <f t="shared" si="3"/>
        <v>Sword</v>
      </c>
      <c r="E8" s="8" t="str">
        <f>E5</f>
        <v>Basic</v>
      </c>
      <c r="F8" s="4" t="str">
        <f t="shared" si="3"/>
        <v>Mount</v>
      </c>
      <c r="G8" s="8" t="str">
        <f>G5</f>
        <v>Leather</v>
      </c>
      <c r="H8" s="4" t="str">
        <f t="shared" si="3"/>
        <v>UNIT</v>
      </c>
      <c r="I8" s="4" t="str">
        <f t="shared" si="3"/>
        <v>WAGON_UNIT</v>
      </c>
      <c r="J8" s="7">
        <f>J5*AH5</f>
        <v>70</v>
      </c>
      <c r="K8" s="9">
        <f>K5*AH5</f>
        <v>1</v>
      </c>
      <c r="L8" s="7">
        <f t="shared" ref="L8:AE8" si="4">L5</f>
        <v>1</v>
      </c>
      <c r="M8" s="7">
        <f>M5*AH5</f>
        <v>0</v>
      </c>
      <c r="N8" s="7">
        <f>$N$5</f>
        <v>0</v>
      </c>
      <c r="O8" s="7">
        <f>$O$5</f>
        <v>2</v>
      </c>
      <c r="P8" s="7">
        <f>$P$5</f>
        <v>1</v>
      </c>
      <c r="Q8" s="7">
        <f t="shared" si="4"/>
        <v>10</v>
      </c>
      <c r="R8" s="7">
        <f t="shared" si="4"/>
        <v>250</v>
      </c>
      <c r="S8" s="7">
        <f t="shared" si="4"/>
        <v>15</v>
      </c>
      <c r="T8" s="7">
        <f t="shared" si="4"/>
        <v>0</v>
      </c>
      <c r="U8" s="7">
        <f t="shared" si="4"/>
        <v>100</v>
      </c>
      <c r="V8" s="7">
        <f t="shared" si="4"/>
        <v>2</v>
      </c>
      <c r="W8" s="7">
        <f>W5*AE5</f>
        <v>5600</v>
      </c>
      <c r="X8" s="7">
        <f t="shared" si="4"/>
        <v>625</v>
      </c>
      <c r="Y8" s="7">
        <f t="shared" si="4"/>
        <v>37.5</v>
      </c>
      <c r="Z8" s="7">
        <f t="shared" si="4"/>
        <v>0</v>
      </c>
      <c r="AA8" s="7">
        <f t="shared" si="4"/>
        <v>250</v>
      </c>
      <c r="AB8" s="7">
        <f t="shared" si="4"/>
        <v>0</v>
      </c>
      <c r="AC8" s="7">
        <f t="shared" si="4"/>
        <v>21600</v>
      </c>
      <c r="AD8" s="7">
        <f t="shared" si="4"/>
        <v>10</v>
      </c>
      <c r="AE8" s="7">
        <f t="shared" si="4"/>
        <v>2</v>
      </c>
      <c r="AF8" s="7">
        <f>AF5*AE8</f>
        <v>120</v>
      </c>
      <c r="AG8" s="7" t="str">
        <f>AG5</f>
        <v>OXWAGON_UNIT</v>
      </c>
      <c r="AH8" s="7">
        <f>AH5</f>
        <v>1</v>
      </c>
      <c r="AI8" s="1">
        <f>SUM(J8:M8)/AE8</f>
        <v>36</v>
      </c>
      <c r="AJ8" s="1">
        <f>SUM(B8*$AR$9,C8*$AR$10,J8*$AR$11,K8*$AR$12,M8*$AR$13,N8*$AR$14,O8*$AR$15,P8*$AR$16,Q8*$AR$17,AF8*$AR$18)</f>
        <v>133</v>
      </c>
      <c r="AK8" s="1">
        <f t="shared" ref="AK8:AK17" si="5">SUM(R8*$AW$9,S8*$AW$10,T8*$AW$11,U8*$AW$12,W8*$AW$13,X8*$AW$14,Y8*$AW$15,Z8*$AW$16,AA8*$AW$17,AC8*$AW$18)</f>
        <v>382.94499999999999</v>
      </c>
      <c r="AL8" s="1">
        <f>AJ8/AK8*100</f>
        <v>34.730836020838503</v>
      </c>
      <c r="AM8" s="4"/>
      <c r="AN8" s="4"/>
      <c r="AO8"/>
      <c r="AP8" t="s">
        <v>26</v>
      </c>
      <c r="AQ8" t="s">
        <v>46</v>
      </c>
      <c r="AR8" t="s">
        <v>47</v>
      </c>
      <c r="AS8"/>
      <c r="AT8"/>
      <c r="AU8" t="s">
        <v>27</v>
      </c>
      <c r="AV8" t="s">
        <v>46</v>
      </c>
      <c r="AW8" t="s">
        <v>47</v>
      </c>
    </row>
    <row r="9" spans="1:49" x14ac:dyDescent="0.25">
      <c r="A9" t="str">
        <f>A8</f>
        <v>1_OXWAGON</v>
      </c>
      <c r="B9">
        <f>B8</f>
        <v>401</v>
      </c>
      <c r="C9">
        <f>C8+1</f>
        <v>2</v>
      </c>
      <c r="D9" t="str">
        <f>D8</f>
        <v>Sword</v>
      </c>
      <c r="E9" t="str">
        <f>E8</f>
        <v>Basic</v>
      </c>
      <c r="F9" t="str">
        <f>F8</f>
        <v>Mount</v>
      </c>
      <c r="G9" t="str">
        <f>G8</f>
        <v>Leather</v>
      </c>
      <c r="H9" t="str">
        <f t="shared" ref="H9:I17" si="6">H8</f>
        <v>UNIT</v>
      </c>
      <c r="I9" t="str">
        <f t="shared" si="6"/>
        <v>WAGON_UNIT</v>
      </c>
      <c r="J9" s="1">
        <f>J8*(1+J$6/100)</f>
        <v>75.600000000000009</v>
      </c>
      <c r="K9" s="10">
        <f t="shared" ref="K9:AD17" si="7">K8*(1+K$6/100)</f>
        <v>1.05</v>
      </c>
      <c r="L9" s="1">
        <f t="shared" si="7"/>
        <v>1</v>
      </c>
      <c r="M9" s="1">
        <f t="shared" ref="M9:M17" si="8">M8*(1+M$6/100)</f>
        <v>0</v>
      </c>
      <c r="N9" s="1">
        <f t="shared" si="7"/>
        <v>0</v>
      </c>
      <c r="O9" s="7">
        <f t="shared" ref="O9:O17" si="9">$O$5</f>
        <v>2</v>
      </c>
      <c r="P9" s="7">
        <f t="shared" ref="P9:P17" si="10">$P$5</f>
        <v>1</v>
      </c>
      <c r="Q9" s="1">
        <f>Q8</f>
        <v>10</v>
      </c>
      <c r="R9" s="1">
        <f t="shared" si="7"/>
        <v>250</v>
      </c>
      <c r="S9" s="1">
        <f t="shared" si="7"/>
        <v>15</v>
      </c>
      <c r="T9" s="1">
        <f t="shared" si="7"/>
        <v>0</v>
      </c>
      <c r="U9" s="1">
        <f t="shared" si="7"/>
        <v>100</v>
      </c>
      <c r="V9" s="1">
        <f t="shared" si="7"/>
        <v>2</v>
      </c>
      <c r="W9" s="1">
        <f t="shared" si="7"/>
        <v>5600</v>
      </c>
      <c r="X9" s="1">
        <f t="shared" si="7"/>
        <v>875</v>
      </c>
      <c r="Y9" s="1">
        <f t="shared" si="7"/>
        <v>52.5</v>
      </c>
      <c r="Z9" s="1">
        <f t="shared" si="7"/>
        <v>0</v>
      </c>
      <c r="AA9" s="1">
        <f t="shared" si="7"/>
        <v>350</v>
      </c>
      <c r="AB9" s="1">
        <f t="shared" si="7"/>
        <v>0</v>
      </c>
      <c r="AC9" s="1">
        <f t="shared" si="7"/>
        <v>28080</v>
      </c>
      <c r="AD9" s="1">
        <f t="shared" si="7"/>
        <v>10.8</v>
      </c>
      <c r="AE9" s="1">
        <f>AE8*(1+AE$6/100)</f>
        <v>2</v>
      </c>
      <c r="AF9" s="1">
        <f>AF8*(1+AF$6/100)</f>
        <v>138</v>
      </c>
      <c r="AG9" s="7" t="str">
        <f>AG8</f>
        <v>OXWAGON_UNIT</v>
      </c>
      <c r="AH9" s="1">
        <f>AH8</f>
        <v>1</v>
      </c>
      <c r="AI9" s="1">
        <f>SUM(J9:M9)/AE9</f>
        <v>38.825000000000003</v>
      </c>
      <c r="AJ9" s="1">
        <f t="shared" ref="AJ9:AJ17" si="11">SUM(B9*$AR$9,C9*$AR$10,J9*$AR$11,K9*$AR$12,M9*$AR$13,N9*$AR$14,O9*$AR$15,P9*$AR$16,Q9*$AR$17,AF9*$AR$18)</f>
        <v>140.45000000000002</v>
      </c>
      <c r="AK9" s="1">
        <f t="shared" si="5"/>
        <v>383.67500000000001</v>
      </c>
      <c r="AL9" s="1">
        <f t="shared" ref="AL9:AL17" si="12">AJ9/AK9*100</f>
        <v>36.606502899589501</v>
      </c>
      <c r="AO9" t="s">
        <v>1</v>
      </c>
      <c r="AP9">
        <v>0</v>
      </c>
      <c r="AQ9">
        <v>1</v>
      </c>
      <c r="AR9">
        <f>AP9/AQ9</f>
        <v>0</v>
      </c>
      <c r="AT9" t="s">
        <v>48</v>
      </c>
      <c r="AU9">
        <v>1</v>
      </c>
      <c r="AV9">
        <v>1</v>
      </c>
      <c r="AW9">
        <f>AU9/AV9</f>
        <v>1</v>
      </c>
    </row>
    <row r="10" spans="1:49" x14ac:dyDescent="0.25">
      <c r="A10" t="str">
        <f t="shared" ref="A10:B17" si="13">A9</f>
        <v>1_OXWAGON</v>
      </c>
      <c r="B10">
        <f t="shared" si="13"/>
        <v>401</v>
      </c>
      <c r="C10">
        <f t="shared" ref="C10:C17" si="14">C9+1</f>
        <v>3</v>
      </c>
      <c r="D10" t="str">
        <f t="shared" ref="D10:G17" si="15">D9</f>
        <v>Sword</v>
      </c>
      <c r="E10" t="str">
        <f t="shared" si="15"/>
        <v>Basic</v>
      </c>
      <c r="F10" t="str">
        <f t="shared" si="15"/>
        <v>Mount</v>
      </c>
      <c r="G10" t="str">
        <f t="shared" si="15"/>
        <v>Leather</v>
      </c>
      <c r="H10" t="str">
        <f t="shared" si="6"/>
        <v>UNIT</v>
      </c>
      <c r="I10" t="str">
        <f t="shared" si="6"/>
        <v>WAGON_UNIT</v>
      </c>
      <c r="J10" s="1">
        <f t="shared" ref="J10:J17" si="16">J9*(1+J$6/100)</f>
        <v>81.64800000000001</v>
      </c>
      <c r="K10" s="10">
        <f t="shared" si="7"/>
        <v>1.1025</v>
      </c>
      <c r="L10" s="1">
        <f t="shared" si="7"/>
        <v>1</v>
      </c>
      <c r="M10" s="1">
        <f t="shared" si="8"/>
        <v>0</v>
      </c>
      <c r="N10" s="1">
        <f t="shared" si="7"/>
        <v>0</v>
      </c>
      <c r="O10" s="7">
        <f t="shared" si="9"/>
        <v>2</v>
      </c>
      <c r="P10" s="7">
        <f t="shared" si="10"/>
        <v>1</v>
      </c>
      <c r="Q10" s="1">
        <f>Q9+Q6</f>
        <v>11</v>
      </c>
      <c r="R10" s="1">
        <f t="shared" si="7"/>
        <v>250</v>
      </c>
      <c r="S10" s="1">
        <f t="shared" si="7"/>
        <v>15</v>
      </c>
      <c r="T10" s="1">
        <f t="shared" si="7"/>
        <v>0</v>
      </c>
      <c r="U10" s="1">
        <f t="shared" si="7"/>
        <v>100</v>
      </c>
      <c r="V10" s="1">
        <f t="shared" si="7"/>
        <v>2</v>
      </c>
      <c r="W10" s="1">
        <f t="shared" si="7"/>
        <v>5600</v>
      </c>
      <c r="X10" s="1">
        <f t="shared" si="7"/>
        <v>1225</v>
      </c>
      <c r="Y10" s="1">
        <f t="shared" si="7"/>
        <v>73.5</v>
      </c>
      <c r="Z10" s="1">
        <f t="shared" si="7"/>
        <v>0</v>
      </c>
      <c r="AA10" s="1">
        <f t="shared" si="7"/>
        <v>489.99999999999994</v>
      </c>
      <c r="AB10" s="1">
        <f t="shared" si="7"/>
        <v>0</v>
      </c>
      <c r="AC10" s="1">
        <f t="shared" si="7"/>
        <v>36504</v>
      </c>
      <c r="AD10" s="1">
        <f t="shared" si="7"/>
        <v>11.664000000000001</v>
      </c>
      <c r="AE10" s="1">
        <f>AE9*(1+AE$6/100)</f>
        <v>2</v>
      </c>
      <c r="AF10" s="1">
        <f t="shared" ref="AF10:AF17" si="17">AF9*(1+AF$6/100)</f>
        <v>158.69999999999999</v>
      </c>
      <c r="AG10" s="7" t="str">
        <f t="shared" ref="AG10:AG17" si="18">AG9</f>
        <v>OXWAGON_UNIT</v>
      </c>
      <c r="AH10" s="1">
        <f t="shared" ref="AH10:AH17" si="19">AH9</f>
        <v>1</v>
      </c>
      <c r="AI10" s="1">
        <f t="shared" ref="AI10:AI17" si="20">SUM(J10:M10)/AE10</f>
        <v>41.875250000000008</v>
      </c>
      <c r="AJ10" s="1">
        <f t="shared" si="11"/>
        <v>150.62050000000002</v>
      </c>
      <c r="AK10" s="1">
        <f t="shared" si="5"/>
        <v>384.697</v>
      </c>
      <c r="AL10" s="1">
        <f t="shared" si="12"/>
        <v>39.153021728789156</v>
      </c>
      <c r="AO10" t="s">
        <v>2</v>
      </c>
      <c r="AP10">
        <v>0</v>
      </c>
      <c r="AQ10">
        <v>1</v>
      </c>
      <c r="AR10">
        <f t="shared" ref="AR10:AR18" si="21">AP10/AQ10</f>
        <v>0</v>
      </c>
      <c r="AT10" t="s">
        <v>15</v>
      </c>
      <c r="AU10">
        <v>2</v>
      </c>
      <c r="AV10">
        <v>1</v>
      </c>
      <c r="AW10">
        <f t="shared" ref="AW10:AW18" si="22">AU10/AV10</f>
        <v>2</v>
      </c>
    </row>
    <row r="11" spans="1:49" x14ac:dyDescent="0.25">
      <c r="A11" t="str">
        <f t="shared" si="13"/>
        <v>1_OXWAGON</v>
      </c>
      <c r="B11">
        <f t="shared" si="13"/>
        <v>401</v>
      </c>
      <c r="C11">
        <f t="shared" si="14"/>
        <v>4</v>
      </c>
      <c r="D11" t="str">
        <f t="shared" si="15"/>
        <v>Sword</v>
      </c>
      <c r="E11" t="str">
        <f t="shared" si="15"/>
        <v>Basic</v>
      </c>
      <c r="F11" t="str">
        <f t="shared" si="15"/>
        <v>Mount</v>
      </c>
      <c r="G11" t="str">
        <f t="shared" si="15"/>
        <v>Leather</v>
      </c>
      <c r="H11" t="str">
        <f t="shared" si="6"/>
        <v>UNIT</v>
      </c>
      <c r="I11" t="str">
        <f t="shared" si="6"/>
        <v>WAGON_UNIT</v>
      </c>
      <c r="J11" s="1">
        <f t="shared" si="16"/>
        <v>88.179840000000013</v>
      </c>
      <c r="K11" s="10">
        <f t="shared" si="7"/>
        <v>1.1576250000000001</v>
      </c>
      <c r="L11" s="1">
        <f t="shared" si="7"/>
        <v>1</v>
      </c>
      <c r="M11" s="1">
        <f t="shared" si="8"/>
        <v>0</v>
      </c>
      <c r="N11" s="1">
        <f t="shared" si="7"/>
        <v>0</v>
      </c>
      <c r="O11" s="7">
        <f t="shared" si="9"/>
        <v>2</v>
      </c>
      <c r="P11" s="7">
        <f t="shared" si="10"/>
        <v>1</v>
      </c>
      <c r="Q11" s="1">
        <f>Q10</f>
        <v>11</v>
      </c>
      <c r="R11" s="1">
        <f t="shared" si="7"/>
        <v>250</v>
      </c>
      <c r="S11" s="1">
        <f t="shared" si="7"/>
        <v>15</v>
      </c>
      <c r="T11" s="1">
        <f t="shared" si="7"/>
        <v>0</v>
      </c>
      <c r="U11" s="1">
        <f t="shared" si="7"/>
        <v>100</v>
      </c>
      <c r="V11" s="1">
        <f t="shared" si="7"/>
        <v>2</v>
      </c>
      <c r="W11" s="1">
        <f t="shared" si="7"/>
        <v>5600</v>
      </c>
      <c r="X11" s="1">
        <f t="shared" si="7"/>
        <v>1715</v>
      </c>
      <c r="Y11" s="1">
        <f t="shared" si="7"/>
        <v>102.89999999999999</v>
      </c>
      <c r="Z11" s="1">
        <f t="shared" si="7"/>
        <v>0</v>
      </c>
      <c r="AA11" s="1">
        <f t="shared" si="7"/>
        <v>685.99999999999989</v>
      </c>
      <c r="AB11" s="1">
        <f t="shared" si="7"/>
        <v>0</v>
      </c>
      <c r="AC11" s="1">
        <f t="shared" si="7"/>
        <v>47455.200000000004</v>
      </c>
      <c r="AD11" s="1">
        <f t="shared" si="7"/>
        <v>12.597120000000002</v>
      </c>
      <c r="AE11" s="1">
        <f t="shared" ref="AE11:AE17" si="23">AE10*(1+AE$6/100)</f>
        <v>2</v>
      </c>
      <c r="AF11" s="1">
        <f t="shared" si="17"/>
        <v>182.50499999999997</v>
      </c>
      <c r="AG11" s="7" t="str">
        <f t="shared" si="18"/>
        <v>OXWAGON_UNIT</v>
      </c>
      <c r="AH11" s="1">
        <f t="shared" si="19"/>
        <v>1</v>
      </c>
      <c r="AI11" s="1">
        <f t="shared" si="20"/>
        <v>45.168732500000004</v>
      </c>
      <c r="AJ11" s="1">
        <f t="shared" si="11"/>
        <v>159.587965</v>
      </c>
      <c r="AK11" s="1">
        <f>SUM(R11*$AW$9,S11*$AW$10,T11*$AW$11,U11*$AW$12,W11*$AW$13,X11*$AW$14,Y11*$AW$15,Z11*$AW$16,AA11*$AW$17,AC11*$AW$18)</f>
        <v>386.12780000000004</v>
      </c>
      <c r="AL11" s="1">
        <f t="shared" si="12"/>
        <v>41.330348397603068</v>
      </c>
      <c r="AO11" t="s">
        <v>49</v>
      </c>
      <c r="AP11">
        <v>1</v>
      </c>
      <c r="AQ11">
        <v>1</v>
      </c>
      <c r="AR11">
        <f t="shared" si="21"/>
        <v>1</v>
      </c>
      <c r="AT11" t="s">
        <v>16</v>
      </c>
      <c r="AU11">
        <v>2</v>
      </c>
      <c r="AV11">
        <v>1</v>
      </c>
      <c r="AW11">
        <f t="shared" si="22"/>
        <v>2</v>
      </c>
    </row>
    <row r="12" spans="1:49" x14ac:dyDescent="0.25">
      <c r="A12" t="str">
        <f t="shared" si="13"/>
        <v>1_OXWAGON</v>
      </c>
      <c r="B12">
        <f t="shared" si="13"/>
        <v>401</v>
      </c>
      <c r="C12">
        <f t="shared" si="14"/>
        <v>5</v>
      </c>
      <c r="D12" t="str">
        <f t="shared" si="15"/>
        <v>Sword</v>
      </c>
      <c r="E12" t="str">
        <f t="shared" si="15"/>
        <v>Basic</v>
      </c>
      <c r="F12" t="str">
        <f t="shared" si="15"/>
        <v>Mount</v>
      </c>
      <c r="G12" t="str">
        <f t="shared" si="15"/>
        <v>Leather</v>
      </c>
      <c r="H12" t="str">
        <f t="shared" si="6"/>
        <v>UNIT</v>
      </c>
      <c r="I12" t="str">
        <f t="shared" si="6"/>
        <v>WAGON_UNIT</v>
      </c>
      <c r="J12" s="1">
        <f t="shared" si="16"/>
        <v>95.234227200000021</v>
      </c>
      <c r="K12" s="10">
        <f t="shared" si="7"/>
        <v>1.2155062500000002</v>
      </c>
      <c r="L12" s="1">
        <f t="shared" si="7"/>
        <v>1</v>
      </c>
      <c r="M12" s="1">
        <f t="shared" si="8"/>
        <v>0</v>
      </c>
      <c r="N12" s="1">
        <f t="shared" si="7"/>
        <v>0</v>
      </c>
      <c r="O12" s="7">
        <f t="shared" si="9"/>
        <v>2</v>
      </c>
      <c r="P12" s="7">
        <f t="shared" si="10"/>
        <v>1</v>
      </c>
      <c r="Q12" s="1">
        <f>Q11+Q6</f>
        <v>12</v>
      </c>
      <c r="R12" s="1">
        <f t="shared" si="7"/>
        <v>250</v>
      </c>
      <c r="S12" s="1">
        <f t="shared" si="7"/>
        <v>15</v>
      </c>
      <c r="T12" s="1">
        <f t="shared" si="7"/>
        <v>0</v>
      </c>
      <c r="U12" s="1">
        <f t="shared" si="7"/>
        <v>100</v>
      </c>
      <c r="V12" s="1">
        <f t="shared" si="7"/>
        <v>2</v>
      </c>
      <c r="W12" s="1">
        <f t="shared" si="7"/>
        <v>5600</v>
      </c>
      <c r="X12" s="1">
        <f t="shared" si="7"/>
        <v>2401</v>
      </c>
      <c r="Y12" s="1">
        <f t="shared" si="7"/>
        <v>144.05999999999997</v>
      </c>
      <c r="Z12" s="1">
        <f t="shared" si="7"/>
        <v>0</v>
      </c>
      <c r="AA12" s="1">
        <f t="shared" si="7"/>
        <v>960.39999999999975</v>
      </c>
      <c r="AB12" s="1">
        <f t="shared" si="7"/>
        <v>0</v>
      </c>
      <c r="AC12" s="1">
        <f t="shared" si="7"/>
        <v>61691.760000000009</v>
      </c>
      <c r="AD12" s="1">
        <f t="shared" si="7"/>
        <v>13.604889600000003</v>
      </c>
      <c r="AE12" s="1">
        <f t="shared" si="23"/>
        <v>2</v>
      </c>
      <c r="AF12" s="1">
        <f t="shared" si="17"/>
        <v>209.88074999999995</v>
      </c>
      <c r="AG12" s="7" t="str">
        <f t="shared" si="18"/>
        <v>OXWAGON_UNIT</v>
      </c>
      <c r="AH12" s="1">
        <f t="shared" si="19"/>
        <v>1</v>
      </c>
      <c r="AI12" s="1">
        <f t="shared" si="20"/>
        <v>48.724866725000012</v>
      </c>
      <c r="AJ12" s="1">
        <f t="shared" si="11"/>
        <v>171.43780845000003</v>
      </c>
      <c r="AK12" s="1">
        <f t="shared" si="5"/>
        <v>388.13092</v>
      </c>
      <c r="AL12" s="1">
        <f t="shared" si="12"/>
        <v>44.170098184911424</v>
      </c>
      <c r="AO12" t="s">
        <v>8</v>
      </c>
      <c r="AP12">
        <v>1</v>
      </c>
      <c r="AQ12">
        <v>1</v>
      </c>
      <c r="AR12">
        <f t="shared" si="21"/>
        <v>1</v>
      </c>
      <c r="AT12" t="s">
        <v>17</v>
      </c>
      <c r="AU12">
        <v>1</v>
      </c>
      <c r="AV12">
        <v>1</v>
      </c>
      <c r="AW12">
        <f t="shared" si="22"/>
        <v>1</v>
      </c>
    </row>
    <row r="13" spans="1:49" x14ac:dyDescent="0.25">
      <c r="A13" t="str">
        <f t="shared" si="13"/>
        <v>1_OXWAGON</v>
      </c>
      <c r="B13">
        <f t="shared" si="13"/>
        <v>401</v>
      </c>
      <c r="C13">
        <f t="shared" si="14"/>
        <v>6</v>
      </c>
      <c r="D13" t="str">
        <f t="shared" si="15"/>
        <v>Sword</v>
      </c>
      <c r="E13" t="str">
        <f t="shared" si="15"/>
        <v>Basic</v>
      </c>
      <c r="F13" t="str">
        <f t="shared" si="15"/>
        <v>Mount</v>
      </c>
      <c r="G13" t="str">
        <f t="shared" si="15"/>
        <v>Leather</v>
      </c>
      <c r="H13" t="str">
        <f t="shared" si="6"/>
        <v>UNIT</v>
      </c>
      <c r="I13" t="str">
        <f t="shared" si="6"/>
        <v>WAGON_UNIT</v>
      </c>
      <c r="J13" s="1">
        <f t="shared" si="16"/>
        <v>102.85296537600003</v>
      </c>
      <c r="K13" s="10">
        <f t="shared" si="7"/>
        <v>1.2762815625000004</v>
      </c>
      <c r="L13" s="1">
        <f t="shared" si="7"/>
        <v>1</v>
      </c>
      <c r="M13" s="1">
        <f t="shared" si="8"/>
        <v>0</v>
      </c>
      <c r="N13" s="1">
        <f t="shared" si="7"/>
        <v>0</v>
      </c>
      <c r="O13" s="7">
        <f t="shared" si="9"/>
        <v>2</v>
      </c>
      <c r="P13" s="7">
        <f t="shared" si="10"/>
        <v>1</v>
      </c>
      <c r="Q13" s="1">
        <f>Q12</f>
        <v>12</v>
      </c>
      <c r="R13" s="1">
        <f t="shared" si="7"/>
        <v>250</v>
      </c>
      <c r="S13" s="1">
        <f t="shared" si="7"/>
        <v>15</v>
      </c>
      <c r="T13" s="1">
        <f t="shared" si="7"/>
        <v>0</v>
      </c>
      <c r="U13" s="1">
        <f t="shared" si="7"/>
        <v>100</v>
      </c>
      <c r="V13" s="1">
        <f t="shared" si="7"/>
        <v>2</v>
      </c>
      <c r="W13" s="1">
        <f t="shared" si="7"/>
        <v>5600</v>
      </c>
      <c r="X13" s="1">
        <f t="shared" si="7"/>
        <v>3361.3999999999996</v>
      </c>
      <c r="Y13" s="1">
        <f t="shared" si="7"/>
        <v>201.68399999999994</v>
      </c>
      <c r="Z13" s="1">
        <f t="shared" si="7"/>
        <v>0</v>
      </c>
      <c r="AA13" s="1">
        <f t="shared" si="7"/>
        <v>1344.5599999999995</v>
      </c>
      <c r="AB13" s="1">
        <f t="shared" si="7"/>
        <v>0</v>
      </c>
      <c r="AC13" s="1">
        <f t="shared" si="7"/>
        <v>80199.288000000015</v>
      </c>
      <c r="AD13" s="1">
        <f t="shared" si="7"/>
        <v>14.693280768000005</v>
      </c>
      <c r="AE13" s="1">
        <f t="shared" si="23"/>
        <v>2</v>
      </c>
      <c r="AF13" s="1">
        <f t="shared" si="17"/>
        <v>241.36286249999992</v>
      </c>
      <c r="AG13" s="7" t="str">
        <f t="shared" si="18"/>
        <v>OXWAGON_UNIT</v>
      </c>
      <c r="AH13" s="1">
        <f t="shared" si="19"/>
        <v>1</v>
      </c>
      <c r="AI13" s="1">
        <f t="shared" si="20"/>
        <v>52.564623469250016</v>
      </c>
      <c r="AJ13" s="1">
        <f t="shared" si="11"/>
        <v>182.26553318850003</v>
      </c>
      <c r="AK13" s="1">
        <f t="shared" si="5"/>
        <v>390.93528800000001</v>
      </c>
      <c r="AL13" s="1">
        <f t="shared" si="12"/>
        <v>46.622942155198849</v>
      </c>
      <c r="AO13" t="s">
        <v>9</v>
      </c>
      <c r="AP13">
        <v>1</v>
      </c>
      <c r="AQ13">
        <v>1</v>
      </c>
      <c r="AR13">
        <f t="shared" si="21"/>
        <v>1</v>
      </c>
      <c r="AT13" t="s">
        <v>18</v>
      </c>
      <c r="AU13">
        <v>1</v>
      </c>
      <c r="AV13">
        <v>5000</v>
      </c>
      <c r="AW13">
        <f t="shared" si="22"/>
        <v>2.0000000000000001E-4</v>
      </c>
    </row>
    <row r="14" spans="1:49" x14ac:dyDescent="0.25">
      <c r="A14" t="str">
        <f t="shared" si="13"/>
        <v>1_OXWAGON</v>
      </c>
      <c r="B14">
        <f t="shared" si="13"/>
        <v>401</v>
      </c>
      <c r="C14">
        <f t="shared" si="14"/>
        <v>7</v>
      </c>
      <c r="D14" t="str">
        <f t="shared" si="15"/>
        <v>Sword</v>
      </c>
      <c r="E14" t="str">
        <f t="shared" si="15"/>
        <v>Basic</v>
      </c>
      <c r="F14" t="str">
        <f t="shared" si="15"/>
        <v>Mount</v>
      </c>
      <c r="G14" t="str">
        <f t="shared" si="15"/>
        <v>Leather</v>
      </c>
      <c r="H14" t="str">
        <f t="shared" si="6"/>
        <v>UNIT</v>
      </c>
      <c r="I14" t="str">
        <f t="shared" si="6"/>
        <v>WAGON_UNIT</v>
      </c>
      <c r="J14" s="1">
        <f t="shared" si="16"/>
        <v>111.08120260608004</v>
      </c>
      <c r="K14" s="10">
        <f t="shared" si="7"/>
        <v>1.3400956406250004</v>
      </c>
      <c r="L14" s="1">
        <f t="shared" si="7"/>
        <v>1</v>
      </c>
      <c r="M14" s="1">
        <f t="shared" si="8"/>
        <v>0</v>
      </c>
      <c r="N14" s="1">
        <f t="shared" si="7"/>
        <v>0</v>
      </c>
      <c r="O14" s="7">
        <f t="shared" si="9"/>
        <v>2</v>
      </c>
      <c r="P14" s="7">
        <f t="shared" si="10"/>
        <v>1</v>
      </c>
      <c r="Q14" s="1">
        <f>Q13+Q6</f>
        <v>13</v>
      </c>
      <c r="R14" s="1">
        <f t="shared" si="7"/>
        <v>250</v>
      </c>
      <c r="S14" s="1">
        <f t="shared" si="7"/>
        <v>15</v>
      </c>
      <c r="T14" s="1">
        <f t="shared" si="7"/>
        <v>0</v>
      </c>
      <c r="U14" s="1">
        <f t="shared" si="7"/>
        <v>100</v>
      </c>
      <c r="V14" s="1">
        <f t="shared" si="7"/>
        <v>2</v>
      </c>
      <c r="W14" s="1">
        <f t="shared" si="7"/>
        <v>5600</v>
      </c>
      <c r="X14" s="1">
        <f t="shared" si="7"/>
        <v>4705.9599999999991</v>
      </c>
      <c r="Y14" s="1">
        <f t="shared" si="7"/>
        <v>282.35759999999988</v>
      </c>
      <c r="Z14" s="1">
        <f t="shared" si="7"/>
        <v>0</v>
      </c>
      <c r="AA14" s="1">
        <f t="shared" si="7"/>
        <v>1882.3839999999991</v>
      </c>
      <c r="AB14" s="1">
        <f t="shared" si="7"/>
        <v>0</v>
      </c>
      <c r="AC14" s="1">
        <f t="shared" si="7"/>
        <v>104259.07440000003</v>
      </c>
      <c r="AD14" s="1">
        <f t="shared" si="7"/>
        <v>15.868743229440007</v>
      </c>
      <c r="AE14" s="1">
        <f t="shared" si="23"/>
        <v>2</v>
      </c>
      <c r="AF14" s="1">
        <f t="shared" si="17"/>
        <v>277.56729187499991</v>
      </c>
      <c r="AG14" s="7" t="str">
        <f t="shared" si="18"/>
        <v>OXWAGON_UNIT</v>
      </c>
      <c r="AH14" s="1">
        <f t="shared" si="19"/>
        <v>1</v>
      </c>
      <c r="AI14" s="1">
        <f t="shared" si="20"/>
        <v>56.710649123352518</v>
      </c>
      <c r="AJ14" s="1">
        <f t="shared" si="11"/>
        <v>196.17802743420501</v>
      </c>
      <c r="AK14" s="1">
        <f t="shared" si="5"/>
        <v>394.86140320000004</v>
      </c>
      <c r="AL14" s="1">
        <f t="shared" si="12"/>
        <v>49.682755985861569</v>
      </c>
      <c r="AO14" t="s">
        <v>10</v>
      </c>
      <c r="AP14">
        <v>0</v>
      </c>
      <c r="AQ14">
        <v>1</v>
      </c>
      <c r="AR14">
        <f t="shared" si="21"/>
        <v>0</v>
      </c>
      <c r="AT14" t="s">
        <v>50</v>
      </c>
      <c r="AU14">
        <v>1</v>
      </c>
      <c r="AV14">
        <v>500</v>
      </c>
      <c r="AW14">
        <f t="shared" si="22"/>
        <v>2E-3</v>
      </c>
    </row>
    <row r="15" spans="1:49" x14ac:dyDescent="0.25">
      <c r="A15" t="str">
        <f t="shared" si="13"/>
        <v>1_OXWAGON</v>
      </c>
      <c r="B15">
        <f t="shared" si="13"/>
        <v>401</v>
      </c>
      <c r="C15">
        <f t="shared" si="14"/>
        <v>8</v>
      </c>
      <c r="D15" t="str">
        <f t="shared" si="15"/>
        <v>Sword</v>
      </c>
      <c r="E15" t="str">
        <f t="shared" si="15"/>
        <v>Basic</v>
      </c>
      <c r="F15" t="str">
        <f t="shared" si="15"/>
        <v>Mount</v>
      </c>
      <c r="G15" t="str">
        <f t="shared" si="15"/>
        <v>Leather</v>
      </c>
      <c r="H15" t="str">
        <f t="shared" si="6"/>
        <v>UNIT</v>
      </c>
      <c r="I15" t="str">
        <f t="shared" si="6"/>
        <v>WAGON_UNIT</v>
      </c>
      <c r="J15" s="1">
        <f t="shared" si="16"/>
        <v>119.96769881456645</v>
      </c>
      <c r="K15" s="10">
        <f t="shared" si="7"/>
        <v>1.4071004226562505</v>
      </c>
      <c r="L15" s="1">
        <f t="shared" si="7"/>
        <v>1</v>
      </c>
      <c r="M15" s="1">
        <f t="shared" si="8"/>
        <v>0</v>
      </c>
      <c r="N15" s="1">
        <f t="shared" si="7"/>
        <v>0</v>
      </c>
      <c r="O15" s="7">
        <f t="shared" si="9"/>
        <v>2</v>
      </c>
      <c r="P15" s="7">
        <f t="shared" si="10"/>
        <v>1</v>
      </c>
      <c r="Q15" s="1">
        <f>Q14</f>
        <v>13</v>
      </c>
      <c r="R15" s="1">
        <f t="shared" si="7"/>
        <v>250</v>
      </c>
      <c r="S15" s="1">
        <f t="shared" si="7"/>
        <v>15</v>
      </c>
      <c r="T15" s="1">
        <f t="shared" si="7"/>
        <v>0</v>
      </c>
      <c r="U15" s="1">
        <f t="shared" si="7"/>
        <v>100</v>
      </c>
      <c r="V15" s="1">
        <f t="shared" si="7"/>
        <v>2</v>
      </c>
      <c r="W15" s="1">
        <f t="shared" si="7"/>
        <v>5600</v>
      </c>
      <c r="X15" s="1">
        <f t="shared" si="7"/>
        <v>6588.3439999999982</v>
      </c>
      <c r="Y15" s="1">
        <f t="shared" si="7"/>
        <v>395.30063999999982</v>
      </c>
      <c r="Z15" s="1">
        <f t="shared" si="7"/>
        <v>0</v>
      </c>
      <c r="AA15" s="1">
        <f t="shared" si="7"/>
        <v>2635.3375999999985</v>
      </c>
      <c r="AB15" s="1">
        <f t="shared" si="7"/>
        <v>0</v>
      </c>
      <c r="AC15" s="1">
        <f t="shared" si="7"/>
        <v>135536.79672000004</v>
      </c>
      <c r="AD15" s="1">
        <f t="shared" si="7"/>
        <v>17.138242687795209</v>
      </c>
      <c r="AE15" s="1">
        <f t="shared" si="23"/>
        <v>2</v>
      </c>
      <c r="AF15" s="1">
        <f t="shared" si="17"/>
        <v>319.20238565624987</v>
      </c>
      <c r="AG15" s="7" t="str">
        <f t="shared" si="18"/>
        <v>OXWAGON_UNIT</v>
      </c>
      <c r="AH15" s="1">
        <f t="shared" si="19"/>
        <v>1</v>
      </c>
      <c r="AI15" s="1">
        <f t="shared" si="20"/>
        <v>61.187399618611352</v>
      </c>
      <c r="AJ15" s="1">
        <f t="shared" si="11"/>
        <v>209.2950378028477</v>
      </c>
      <c r="AK15" s="1">
        <f t="shared" si="5"/>
        <v>400.35796447999996</v>
      </c>
      <c r="AL15" s="1">
        <f t="shared" si="12"/>
        <v>52.276976199209123</v>
      </c>
      <c r="AO15" t="s">
        <v>11</v>
      </c>
      <c r="AP15">
        <v>10</v>
      </c>
      <c r="AQ15">
        <v>1</v>
      </c>
      <c r="AR15">
        <f t="shared" si="21"/>
        <v>10</v>
      </c>
      <c r="AT15" t="s">
        <v>51</v>
      </c>
      <c r="AU15">
        <v>1</v>
      </c>
      <c r="AV15">
        <v>500</v>
      </c>
      <c r="AW15">
        <f t="shared" si="22"/>
        <v>2E-3</v>
      </c>
    </row>
    <row r="16" spans="1:49" x14ac:dyDescent="0.25">
      <c r="A16" t="str">
        <f t="shared" si="13"/>
        <v>1_OXWAGON</v>
      </c>
      <c r="B16">
        <f t="shared" si="13"/>
        <v>401</v>
      </c>
      <c r="C16">
        <f t="shared" si="14"/>
        <v>9</v>
      </c>
      <c r="D16" t="str">
        <f t="shared" si="15"/>
        <v>Sword</v>
      </c>
      <c r="E16" t="str">
        <f t="shared" si="15"/>
        <v>Basic</v>
      </c>
      <c r="F16" t="str">
        <f t="shared" si="15"/>
        <v>Mount</v>
      </c>
      <c r="G16" t="str">
        <f t="shared" si="15"/>
        <v>Leather</v>
      </c>
      <c r="H16" t="str">
        <f t="shared" si="6"/>
        <v>UNIT</v>
      </c>
      <c r="I16" t="str">
        <f t="shared" si="6"/>
        <v>WAGON_UNIT</v>
      </c>
      <c r="J16" s="1">
        <f t="shared" si="16"/>
        <v>129.56511471973178</v>
      </c>
      <c r="K16" s="10">
        <f t="shared" si="7"/>
        <v>1.477455443789063</v>
      </c>
      <c r="L16" s="1">
        <f t="shared" si="7"/>
        <v>1</v>
      </c>
      <c r="M16" s="1">
        <f t="shared" si="8"/>
        <v>0</v>
      </c>
      <c r="N16" s="1">
        <f t="shared" si="7"/>
        <v>0</v>
      </c>
      <c r="O16" s="7">
        <f t="shared" si="9"/>
        <v>2</v>
      </c>
      <c r="P16" s="7">
        <f t="shared" si="10"/>
        <v>1</v>
      </c>
      <c r="Q16" s="1">
        <f>Q15+Q6</f>
        <v>14</v>
      </c>
      <c r="R16" s="1">
        <f t="shared" si="7"/>
        <v>250</v>
      </c>
      <c r="S16" s="1">
        <f t="shared" si="7"/>
        <v>15</v>
      </c>
      <c r="T16" s="1">
        <f t="shared" si="7"/>
        <v>0</v>
      </c>
      <c r="U16" s="1">
        <f t="shared" si="7"/>
        <v>100</v>
      </c>
      <c r="V16" s="1">
        <f t="shared" si="7"/>
        <v>2</v>
      </c>
      <c r="W16" s="1">
        <f t="shared" si="7"/>
        <v>5600</v>
      </c>
      <c r="X16" s="1">
        <f t="shared" si="7"/>
        <v>9223.6815999999963</v>
      </c>
      <c r="Y16" s="1">
        <f t="shared" si="7"/>
        <v>553.42089599999974</v>
      </c>
      <c r="Z16" s="1">
        <f t="shared" si="7"/>
        <v>0</v>
      </c>
      <c r="AA16" s="1">
        <f t="shared" si="7"/>
        <v>3689.4726399999977</v>
      </c>
      <c r="AB16" s="1">
        <f t="shared" si="7"/>
        <v>0</v>
      </c>
      <c r="AC16" s="1">
        <f t="shared" si="7"/>
        <v>176197.83573600007</v>
      </c>
      <c r="AD16" s="1">
        <f t="shared" si="7"/>
        <v>18.509302102818829</v>
      </c>
      <c r="AE16" s="1">
        <f t="shared" si="23"/>
        <v>2</v>
      </c>
      <c r="AF16" s="1">
        <f t="shared" si="17"/>
        <v>367.0827435046873</v>
      </c>
      <c r="AG16" s="7" t="str">
        <f t="shared" si="18"/>
        <v>OXWAGON_UNIT</v>
      </c>
      <c r="AH16" s="1">
        <f t="shared" si="19"/>
        <v>1</v>
      </c>
      <c r="AI16" s="1">
        <f t="shared" si="20"/>
        <v>66.021285081760425</v>
      </c>
      <c r="AJ16" s="1">
        <f t="shared" si="11"/>
        <v>225.75084451398959</v>
      </c>
      <c r="AK16" s="1">
        <f t="shared" si="5"/>
        <v>408.05315027199998</v>
      </c>
      <c r="AL16" s="1">
        <f t="shared" si="12"/>
        <v>55.323882284331994</v>
      </c>
      <c r="AO16" t="s">
        <v>12</v>
      </c>
      <c r="AP16">
        <v>10</v>
      </c>
      <c r="AQ16">
        <v>1</v>
      </c>
      <c r="AR16">
        <f t="shared" si="21"/>
        <v>10</v>
      </c>
      <c r="AT16" t="s">
        <v>52</v>
      </c>
      <c r="AU16">
        <v>1</v>
      </c>
      <c r="AV16">
        <v>500</v>
      </c>
      <c r="AW16">
        <f t="shared" si="22"/>
        <v>2E-3</v>
      </c>
    </row>
    <row r="17" spans="1:49" x14ac:dyDescent="0.25">
      <c r="A17" t="str">
        <f t="shared" si="13"/>
        <v>1_OXWAGON</v>
      </c>
      <c r="B17">
        <f t="shared" si="13"/>
        <v>401</v>
      </c>
      <c r="C17">
        <f t="shared" si="14"/>
        <v>10</v>
      </c>
      <c r="D17" t="str">
        <f t="shared" si="15"/>
        <v>Sword</v>
      </c>
      <c r="E17" t="str">
        <f t="shared" si="15"/>
        <v>Basic</v>
      </c>
      <c r="F17" t="str">
        <f t="shared" si="15"/>
        <v>Mount</v>
      </c>
      <c r="G17" t="str">
        <f t="shared" si="15"/>
        <v>Leather</v>
      </c>
      <c r="H17" t="str">
        <f t="shared" si="6"/>
        <v>UNIT</v>
      </c>
      <c r="I17" t="str">
        <f t="shared" si="6"/>
        <v>WAGON_UNIT</v>
      </c>
      <c r="J17" s="1">
        <f t="shared" si="16"/>
        <v>139.93032389731033</v>
      </c>
      <c r="K17" s="10">
        <f t="shared" si="7"/>
        <v>1.5513282159785162</v>
      </c>
      <c r="L17" s="1">
        <f t="shared" si="7"/>
        <v>1</v>
      </c>
      <c r="M17" s="1">
        <f t="shared" si="8"/>
        <v>0</v>
      </c>
      <c r="N17" s="1">
        <f t="shared" si="7"/>
        <v>0</v>
      </c>
      <c r="O17" s="7">
        <f t="shared" si="9"/>
        <v>2</v>
      </c>
      <c r="P17" s="7">
        <f t="shared" si="10"/>
        <v>1</v>
      </c>
      <c r="Q17" s="1">
        <f>Q16+Q6</f>
        <v>15</v>
      </c>
      <c r="R17" s="1">
        <f t="shared" si="7"/>
        <v>250</v>
      </c>
      <c r="S17" s="1">
        <f t="shared" si="7"/>
        <v>15</v>
      </c>
      <c r="T17" s="1">
        <f t="shared" si="7"/>
        <v>0</v>
      </c>
      <c r="U17" s="1">
        <f t="shared" si="7"/>
        <v>100</v>
      </c>
      <c r="V17" s="1">
        <f t="shared" si="7"/>
        <v>2</v>
      </c>
      <c r="W17" s="1">
        <f t="shared" si="7"/>
        <v>5600</v>
      </c>
      <c r="X17" s="1">
        <f t="shared" si="7"/>
        <v>12913.154239999994</v>
      </c>
      <c r="Y17" s="1">
        <f t="shared" si="7"/>
        <v>774.78925439999955</v>
      </c>
      <c r="Z17" s="1">
        <f t="shared" si="7"/>
        <v>0</v>
      </c>
      <c r="AA17" s="1">
        <f t="shared" si="7"/>
        <v>5165.2616959999968</v>
      </c>
      <c r="AB17" s="1">
        <f t="shared" si="7"/>
        <v>0</v>
      </c>
      <c r="AC17" s="1">
        <f t="shared" si="7"/>
        <v>229057.18645680009</v>
      </c>
      <c r="AD17" s="1">
        <f t="shared" si="7"/>
        <v>19.990046271044335</v>
      </c>
      <c r="AE17" s="1">
        <f t="shared" si="23"/>
        <v>2</v>
      </c>
      <c r="AF17" s="1">
        <f t="shared" si="17"/>
        <v>422.14515503039036</v>
      </c>
      <c r="AG17" s="7" t="str">
        <f t="shared" si="18"/>
        <v>OXWAGON_UNIT</v>
      </c>
      <c r="AH17" s="1">
        <f t="shared" si="19"/>
        <v>1</v>
      </c>
      <c r="AI17" s="1">
        <f t="shared" si="20"/>
        <v>71.240826056644423</v>
      </c>
      <c r="AJ17" s="1">
        <f t="shared" si="11"/>
        <v>243.6961676163279</v>
      </c>
      <c r="AK17" s="1">
        <f t="shared" si="5"/>
        <v>418.82641038079993</v>
      </c>
      <c r="AL17" s="1">
        <f t="shared" si="12"/>
        <v>58.18548247584426</v>
      </c>
      <c r="AO17" t="s">
        <v>13</v>
      </c>
      <c r="AP17">
        <v>2</v>
      </c>
      <c r="AQ17">
        <v>1</v>
      </c>
      <c r="AR17">
        <f t="shared" si="21"/>
        <v>2</v>
      </c>
      <c r="AT17" t="s">
        <v>53</v>
      </c>
      <c r="AU17">
        <v>1</v>
      </c>
      <c r="AV17">
        <v>500</v>
      </c>
      <c r="AW17">
        <f t="shared" si="22"/>
        <v>2E-3</v>
      </c>
    </row>
    <row r="18" spans="1:49" x14ac:dyDescent="0.25">
      <c r="AJ18" s="1"/>
      <c r="AK18" s="1"/>
      <c r="AL18" s="3"/>
      <c r="AO18" t="s">
        <v>57</v>
      </c>
      <c r="AP18">
        <v>1</v>
      </c>
      <c r="AQ18">
        <v>10</v>
      </c>
      <c r="AR18">
        <f t="shared" si="21"/>
        <v>0.1</v>
      </c>
      <c r="AT18" t="s">
        <v>54</v>
      </c>
      <c r="AU18">
        <v>0</v>
      </c>
      <c r="AV18">
        <v>100</v>
      </c>
      <c r="AW18">
        <f t="shared" si="22"/>
        <v>0</v>
      </c>
    </row>
    <row r="19" spans="1:49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4"/>
      <c r="AG19" s="4"/>
      <c r="AH19" s="4"/>
      <c r="AJ19" s="1"/>
      <c r="AK19" s="1"/>
      <c r="AL19" s="3"/>
    </row>
    <row r="20" spans="1:49" x14ac:dyDescent="0.25">
      <c r="A20" s="5" t="s">
        <v>36</v>
      </c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J20" s="1"/>
      <c r="AK20" s="1"/>
      <c r="AL20" s="3"/>
    </row>
    <row r="21" spans="1:49" x14ac:dyDescent="0.25">
      <c r="I21" t="s">
        <v>56</v>
      </c>
      <c r="J21">
        <v>5</v>
      </c>
      <c r="K21">
        <v>5</v>
      </c>
      <c r="L21">
        <v>0</v>
      </c>
      <c r="M21">
        <v>2</v>
      </c>
      <c r="N21">
        <v>2</v>
      </c>
      <c r="O21">
        <v>2</v>
      </c>
      <c r="P21">
        <v>2</v>
      </c>
      <c r="Q21">
        <v>1</v>
      </c>
      <c r="R21">
        <v>2</v>
      </c>
      <c r="S21">
        <v>2</v>
      </c>
      <c r="T21">
        <v>2</v>
      </c>
      <c r="U21">
        <v>2</v>
      </c>
      <c r="V21">
        <v>2</v>
      </c>
      <c r="W21">
        <v>8</v>
      </c>
      <c r="X21">
        <v>40</v>
      </c>
      <c r="Y21">
        <v>40</v>
      </c>
      <c r="Z21">
        <v>40</v>
      </c>
      <c r="AA21">
        <v>40</v>
      </c>
      <c r="AB21">
        <v>0</v>
      </c>
      <c r="AC21">
        <v>30</v>
      </c>
      <c r="AD21">
        <v>8</v>
      </c>
      <c r="AE21">
        <v>0</v>
      </c>
      <c r="AF21">
        <v>5</v>
      </c>
      <c r="AJ21" s="1"/>
      <c r="AK21" s="1"/>
      <c r="AL21" s="3"/>
    </row>
    <row r="22" spans="1:49" x14ac:dyDescent="0.25">
      <c r="I22" t="s">
        <v>55</v>
      </c>
      <c r="J22">
        <v>8</v>
      </c>
      <c r="K22">
        <v>8</v>
      </c>
      <c r="L22">
        <v>0</v>
      </c>
      <c r="M22">
        <v>5</v>
      </c>
      <c r="N22">
        <v>5</v>
      </c>
      <c r="O22">
        <v>5</v>
      </c>
      <c r="P22">
        <v>5</v>
      </c>
      <c r="Q22">
        <v>1</v>
      </c>
      <c r="R22">
        <v>5</v>
      </c>
      <c r="S22">
        <v>5</v>
      </c>
      <c r="T22">
        <v>5</v>
      </c>
      <c r="U22">
        <v>5</v>
      </c>
      <c r="V22">
        <v>0</v>
      </c>
      <c r="W22">
        <v>8</v>
      </c>
      <c r="X22">
        <v>45</v>
      </c>
      <c r="Y22">
        <v>45</v>
      </c>
      <c r="Z22">
        <v>45</v>
      </c>
      <c r="AA22">
        <v>45</v>
      </c>
      <c r="AB22">
        <v>0</v>
      </c>
      <c r="AC22">
        <v>30</v>
      </c>
      <c r="AD22">
        <v>8</v>
      </c>
      <c r="AE22">
        <v>0</v>
      </c>
      <c r="AF22">
        <v>5</v>
      </c>
      <c r="AJ22" s="1"/>
      <c r="AK22" s="1"/>
      <c r="AL22" s="3"/>
    </row>
    <row r="23" spans="1:49" x14ac:dyDescent="0.25">
      <c r="I23" t="s">
        <v>106</v>
      </c>
      <c r="J23">
        <v>5</v>
      </c>
      <c r="K23">
        <v>5</v>
      </c>
      <c r="L23">
        <v>0</v>
      </c>
      <c r="M23">
        <v>2</v>
      </c>
      <c r="N23">
        <v>2</v>
      </c>
      <c r="O23">
        <v>2</v>
      </c>
      <c r="P23">
        <v>2</v>
      </c>
      <c r="Q23">
        <v>1</v>
      </c>
      <c r="R23">
        <v>2</v>
      </c>
      <c r="S23">
        <v>2</v>
      </c>
      <c r="T23">
        <v>2</v>
      </c>
      <c r="U23">
        <v>2</v>
      </c>
      <c r="V23">
        <v>0</v>
      </c>
      <c r="W23">
        <v>5</v>
      </c>
      <c r="X23">
        <v>20</v>
      </c>
      <c r="Y23">
        <v>20</v>
      </c>
      <c r="Z23">
        <v>20</v>
      </c>
      <c r="AA23">
        <v>20</v>
      </c>
      <c r="AB23">
        <v>0</v>
      </c>
      <c r="AC23">
        <v>30</v>
      </c>
      <c r="AD23">
        <v>8</v>
      </c>
      <c r="AE23">
        <v>0</v>
      </c>
      <c r="AF23">
        <v>5</v>
      </c>
      <c r="AJ23" s="1"/>
      <c r="AK23" s="1"/>
      <c r="AL23" s="3"/>
    </row>
    <row r="24" spans="1:49" x14ac:dyDescent="0.25">
      <c r="I24" t="s">
        <v>90</v>
      </c>
      <c r="J24">
        <v>8</v>
      </c>
      <c r="K24">
        <v>5</v>
      </c>
      <c r="L24">
        <v>0</v>
      </c>
      <c r="M24">
        <v>2</v>
      </c>
      <c r="N24">
        <v>2</v>
      </c>
      <c r="O24">
        <v>2</v>
      </c>
      <c r="P24">
        <v>2</v>
      </c>
      <c r="Q24">
        <v>1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40</v>
      </c>
      <c r="Y24">
        <v>40</v>
      </c>
      <c r="Z24">
        <v>40</v>
      </c>
      <c r="AA24">
        <v>40</v>
      </c>
      <c r="AB24">
        <v>0</v>
      </c>
      <c r="AC24">
        <v>30</v>
      </c>
      <c r="AD24">
        <v>8</v>
      </c>
      <c r="AE24">
        <v>0</v>
      </c>
      <c r="AF24">
        <v>15</v>
      </c>
      <c r="AJ24" s="1"/>
      <c r="AK24" s="1"/>
      <c r="AL24" s="3"/>
    </row>
    <row r="25" spans="1:49" x14ac:dyDescent="0.25">
      <c r="J25">
        <v>10</v>
      </c>
      <c r="K25">
        <v>10</v>
      </c>
      <c r="L25">
        <v>0</v>
      </c>
      <c r="M25">
        <v>10</v>
      </c>
      <c r="N25">
        <v>10</v>
      </c>
      <c r="O25">
        <v>10</v>
      </c>
      <c r="P25">
        <v>10</v>
      </c>
      <c r="Q25">
        <v>10</v>
      </c>
      <c r="R25">
        <v>10</v>
      </c>
      <c r="S25">
        <v>10</v>
      </c>
      <c r="T25">
        <v>10</v>
      </c>
      <c r="U25">
        <v>10</v>
      </c>
      <c r="V25">
        <v>0</v>
      </c>
      <c r="W25">
        <v>30</v>
      </c>
      <c r="X25">
        <v>10</v>
      </c>
      <c r="Y25">
        <v>10</v>
      </c>
      <c r="Z25">
        <v>10</v>
      </c>
      <c r="AA25">
        <v>10</v>
      </c>
      <c r="AB25">
        <v>0</v>
      </c>
      <c r="AC25">
        <v>20</v>
      </c>
      <c r="AD25">
        <v>8</v>
      </c>
      <c r="AE25">
        <v>0</v>
      </c>
      <c r="AF25">
        <v>0</v>
      </c>
      <c r="AJ25" s="1"/>
      <c r="AK25" s="1"/>
      <c r="AL25" s="3"/>
    </row>
    <row r="26" spans="1:49" x14ac:dyDescent="0.25">
      <c r="AJ26" s="1"/>
      <c r="AK26" s="1"/>
      <c r="AL26" s="3"/>
    </row>
    <row r="27" spans="1:49" x14ac:dyDescent="0.25">
      <c r="A27" s="6" t="s">
        <v>1</v>
      </c>
      <c r="AJ27" s="1"/>
      <c r="AK27" s="1"/>
      <c r="AL27" s="3"/>
    </row>
    <row r="29" spans="1:49" x14ac:dyDescent="0.25">
      <c r="A29" t="s">
        <v>87</v>
      </c>
      <c r="B29">
        <v>11</v>
      </c>
      <c r="C29">
        <v>1</v>
      </c>
      <c r="D29" t="s">
        <v>29</v>
      </c>
      <c r="E29" t="s">
        <v>59</v>
      </c>
      <c r="F29" t="s">
        <v>60</v>
      </c>
      <c r="G29" t="s">
        <v>34</v>
      </c>
      <c r="H29" t="s">
        <v>30</v>
      </c>
      <c r="I29" t="s">
        <v>101</v>
      </c>
      <c r="J29">
        <v>90</v>
      </c>
      <c r="K29">
        <v>3</v>
      </c>
      <c r="L29">
        <v>1</v>
      </c>
      <c r="M29">
        <v>0</v>
      </c>
      <c r="N29">
        <v>0</v>
      </c>
      <c r="O29">
        <v>1</v>
      </c>
      <c r="P29">
        <v>1</v>
      </c>
      <c r="Q29">
        <v>3</v>
      </c>
      <c r="R29">
        <v>7</v>
      </c>
      <c r="S29">
        <v>0</v>
      </c>
      <c r="T29">
        <v>0</v>
      </c>
      <c r="U29">
        <v>5</v>
      </c>
      <c r="V29">
        <v>1</v>
      </c>
      <c r="W29">
        <v>650</v>
      </c>
      <c r="X29">
        <v>400</v>
      </c>
      <c r="Y29">
        <v>0</v>
      </c>
      <c r="Z29">
        <v>0</v>
      </c>
      <c r="AA29">
        <v>300</v>
      </c>
      <c r="AB29">
        <v>0</v>
      </c>
      <c r="AC29">
        <v>10800</v>
      </c>
      <c r="AD29">
        <v>20</v>
      </c>
      <c r="AE29">
        <v>1</v>
      </c>
      <c r="AF29">
        <v>25</v>
      </c>
      <c r="AG29" t="s">
        <v>55</v>
      </c>
      <c r="AH29">
        <v>1</v>
      </c>
      <c r="AI29"/>
    </row>
    <row r="30" spans="1:49" x14ac:dyDescent="0.25">
      <c r="A30" t="s">
        <v>88</v>
      </c>
      <c r="B30">
        <v>12</v>
      </c>
      <c r="C30">
        <v>1</v>
      </c>
      <c r="D30" t="s">
        <v>37</v>
      </c>
      <c r="E30" t="s">
        <v>59</v>
      </c>
      <c r="F30" t="s">
        <v>60</v>
      </c>
      <c r="G30" t="s">
        <v>34</v>
      </c>
      <c r="H30" t="s">
        <v>30</v>
      </c>
      <c r="I30" t="s">
        <v>102</v>
      </c>
      <c r="J30">
        <v>70</v>
      </c>
      <c r="K30">
        <v>2</v>
      </c>
      <c r="L30">
        <v>3</v>
      </c>
      <c r="M30">
        <v>0</v>
      </c>
      <c r="N30">
        <v>0</v>
      </c>
      <c r="O30">
        <v>2</v>
      </c>
      <c r="P30">
        <v>1</v>
      </c>
      <c r="Q30">
        <v>6</v>
      </c>
      <c r="R30">
        <v>6</v>
      </c>
      <c r="S30">
        <v>0</v>
      </c>
      <c r="T30">
        <v>0</v>
      </c>
      <c r="U30">
        <v>8</v>
      </c>
      <c r="V30">
        <v>1</v>
      </c>
      <c r="W30">
        <v>725</v>
      </c>
      <c r="X30">
        <v>300</v>
      </c>
      <c r="Y30">
        <v>0</v>
      </c>
      <c r="Z30">
        <v>0</v>
      </c>
      <c r="AA30">
        <v>500</v>
      </c>
      <c r="AB30">
        <v>0</v>
      </c>
      <c r="AC30">
        <v>10800</v>
      </c>
      <c r="AD30">
        <v>20</v>
      </c>
      <c r="AE30">
        <v>1</v>
      </c>
      <c r="AF30">
        <v>5</v>
      </c>
      <c r="AG30" t="s">
        <v>55</v>
      </c>
      <c r="AH30">
        <v>1</v>
      </c>
      <c r="AI30"/>
    </row>
    <row r="32" spans="1:49" x14ac:dyDescent="0.25">
      <c r="A32" t="s">
        <v>58</v>
      </c>
      <c r="B32">
        <v>101</v>
      </c>
      <c r="C32">
        <v>1</v>
      </c>
      <c r="D32" t="s">
        <v>29</v>
      </c>
      <c r="E32" t="s">
        <v>59</v>
      </c>
      <c r="F32" t="s">
        <v>60</v>
      </c>
      <c r="G32" t="s">
        <v>34</v>
      </c>
      <c r="H32" t="s">
        <v>30</v>
      </c>
      <c r="I32" t="s">
        <v>35</v>
      </c>
      <c r="J32">
        <v>100</v>
      </c>
      <c r="K32">
        <v>4</v>
      </c>
      <c r="L32">
        <v>1</v>
      </c>
      <c r="M32">
        <v>0</v>
      </c>
      <c r="N32">
        <v>0</v>
      </c>
      <c r="O32">
        <v>1</v>
      </c>
      <c r="P32">
        <v>1</v>
      </c>
      <c r="Q32">
        <v>6</v>
      </c>
      <c r="R32">
        <v>40</v>
      </c>
      <c r="S32">
        <v>0</v>
      </c>
      <c r="T32">
        <v>0</v>
      </c>
      <c r="U32">
        <v>30</v>
      </c>
      <c r="V32">
        <v>0</v>
      </c>
      <c r="W32">
        <v>475</v>
      </c>
      <c r="X32">
        <v>400</v>
      </c>
      <c r="Y32">
        <v>0</v>
      </c>
      <c r="Z32">
        <v>0</v>
      </c>
      <c r="AA32">
        <v>300</v>
      </c>
      <c r="AB32">
        <v>0</v>
      </c>
      <c r="AC32">
        <v>14400</v>
      </c>
      <c r="AD32">
        <v>20</v>
      </c>
      <c r="AE32">
        <v>1</v>
      </c>
      <c r="AF32">
        <v>30</v>
      </c>
      <c r="AG32" t="s">
        <v>56</v>
      </c>
      <c r="AH32">
        <v>1</v>
      </c>
      <c r="AI32"/>
    </row>
    <row r="33" spans="1:35" x14ac:dyDescent="0.25">
      <c r="A33" t="s">
        <v>61</v>
      </c>
      <c r="B33">
        <v>102</v>
      </c>
      <c r="C33">
        <v>1</v>
      </c>
      <c r="D33" t="s">
        <v>37</v>
      </c>
      <c r="E33" t="s">
        <v>59</v>
      </c>
      <c r="F33" t="s">
        <v>60</v>
      </c>
      <c r="G33" t="s">
        <v>34</v>
      </c>
      <c r="H33" t="s">
        <v>30</v>
      </c>
      <c r="I33" t="s">
        <v>38</v>
      </c>
      <c r="J33">
        <v>75</v>
      </c>
      <c r="K33">
        <v>3</v>
      </c>
      <c r="L33">
        <v>3</v>
      </c>
      <c r="M33">
        <v>0</v>
      </c>
      <c r="N33">
        <v>0</v>
      </c>
      <c r="O33">
        <v>2</v>
      </c>
      <c r="P33">
        <v>1</v>
      </c>
      <c r="Q33">
        <v>9</v>
      </c>
      <c r="R33">
        <v>30</v>
      </c>
      <c r="S33">
        <v>0</v>
      </c>
      <c r="T33">
        <v>0</v>
      </c>
      <c r="U33">
        <v>50</v>
      </c>
      <c r="V33">
        <v>0</v>
      </c>
      <c r="W33">
        <v>525</v>
      </c>
      <c r="X33">
        <v>300</v>
      </c>
      <c r="Y33">
        <v>0</v>
      </c>
      <c r="Z33">
        <v>0</v>
      </c>
      <c r="AA33">
        <v>500</v>
      </c>
      <c r="AB33">
        <v>0</v>
      </c>
      <c r="AC33">
        <v>14400</v>
      </c>
      <c r="AD33">
        <v>20</v>
      </c>
      <c r="AE33">
        <v>1</v>
      </c>
      <c r="AF33">
        <v>5</v>
      </c>
      <c r="AG33" t="s">
        <v>56</v>
      </c>
      <c r="AH33">
        <v>1</v>
      </c>
      <c r="AI33"/>
    </row>
    <row r="34" spans="1:35" x14ac:dyDescent="0.25">
      <c r="A34" t="s">
        <v>62</v>
      </c>
      <c r="B34">
        <v>103</v>
      </c>
      <c r="C34">
        <v>1</v>
      </c>
      <c r="D34" t="s">
        <v>29</v>
      </c>
      <c r="E34" t="s">
        <v>59</v>
      </c>
      <c r="F34" t="s">
        <v>60</v>
      </c>
      <c r="G34" t="s">
        <v>34</v>
      </c>
      <c r="H34" t="s">
        <v>30</v>
      </c>
      <c r="I34" t="s">
        <v>42</v>
      </c>
      <c r="J34">
        <v>90</v>
      </c>
      <c r="K34">
        <v>8</v>
      </c>
      <c r="L34">
        <v>1</v>
      </c>
      <c r="M34">
        <v>0</v>
      </c>
      <c r="N34">
        <v>0</v>
      </c>
      <c r="O34">
        <v>1</v>
      </c>
      <c r="P34">
        <v>1</v>
      </c>
      <c r="Q34">
        <v>11</v>
      </c>
      <c r="R34">
        <v>50</v>
      </c>
      <c r="S34">
        <v>0</v>
      </c>
      <c r="T34">
        <v>0</v>
      </c>
      <c r="U34">
        <v>38</v>
      </c>
      <c r="V34">
        <v>0</v>
      </c>
      <c r="W34">
        <v>650</v>
      </c>
      <c r="X34">
        <v>500</v>
      </c>
      <c r="Y34">
        <v>0</v>
      </c>
      <c r="Z34">
        <v>0</v>
      </c>
      <c r="AA34">
        <v>550</v>
      </c>
      <c r="AB34">
        <v>0</v>
      </c>
      <c r="AC34">
        <v>14400</v>
      </c>
      <c r="AD34">
        <v>10</v>
      </c>
      <c r="AE34">
        <v>1</v>
      </c>
      <c r="AF34">
        <v>20</v>
      </c>
      <c r="AG34" t="s">
        <v>56</v>
      </c>
      <c r="AH34">
        <v>1</v>
      </c>
      <c r="AI34"/>
    </row>
    <row r="35" spans="1:35" x14ac:dyDescent="0.25">
      <c r="A35" t="s">
        <v>63</v>
      </c>
      <c r="B35">
        <v>104</v>
      </c>
      <c r="C35">
        <v>1</v>
      </c>
      <c r="D35" t="s">
        <v>70</v>
      </c>
      <c r="E35" t="s">
        <v>64</v>
      </c>
      <c r="F35" t="s">
        <v>60</v>
      </c>
      <c r="G35" t="s">
        <v>39</v>
      </c>
      <c r="H35" t="s">
        <v>30</v>
      </c>
      <c r="I35" t="s">
        <v>40</v>
      </c>
      <c r="J35">
        <v>120</v>
      </c>
      <c r="K35">
        <v>6</v>
      </c>
      <c r="L35">
        <v>1</v>
      </c>
      <c r="M35">
        <v>0</v>
      </c>
      <c r="N35">
        <v>0</v>
      </c>
      <c r="O35">
        <v>1</v>
      </c>
      <c r="P35">
        <v>3</v>
      </c>
      <c r="Q35">
        <v>6</v>
      </c>
      <c r="R35">
        <v>35</v>
      </c>
      <c r="S35">
        <v>10</v>
      </c>
      <c r="T35">
        <v>0</v>
      </c>
      <c r="U35">
        <v>65</v>
      </c>
      <c r="V35">
        <v>0</v>
      </c>
      <c r="W35">
        <v>600</v>
      </c>
      <c r="X35">
        <v>350</v>
      </c>
      <c r="Y35">
        <v>100</v>
      </c>
      <c r="Z35">
        <v>0</v>
      </c>
      <c r="AA35">
        <v>650</v>
      </c>
      <c r="AB35">
        <v>0</v>
      </c>
      <c r="AC35">
        <v>14400</v>
      </c>
      <c r="AD35">
        <v>20</v>
      </c>
      <c r="AE35">
        <v>1</v>
      </c>
      <c r="AF35">
        <v>15</v>
      </c>
      <c r="AG35" t="s">
        <v>56</v>
      </c>
      <c r="AH35">
        <v>1</v>
      </c>
      <c r="AI35"/>
    </row>
    <row r="36" spans="1:35" x14ac:dyDescent="0.25">
      <c r="AI36"/>
    </row>
    <row r="37" spans="1:35" x14ac:dyDescent="0.25">
      <c r="A37" t="s">
        <v>91</v>
      </c>
      <c r="B37">
        <v>105</v>
      </c>
      <c r="C37">
        <v>1</v>
      </c>
      <c r="D37" t="s">
        <v>41</v>
      </c>
      <c r="E37" t="s">
        <v>64</v>
      </c>
      <c r="F37" t="s">
        <v>65</v>
      </c>
      <c r="G37" t="s">
        <v>34</v>
      </c>
      <c r="H37" t="s">
        <v>30</v>
      </c>
      <c r="I37" t="s">
        <v>92</v>
      </c>
      <c r="J37">
        <v>80</v>
      </c>
      <c r="K37">
        <v>7</v>
      </c>
      <c r="L37">
        <v>1</v>
      </c>
      <c r="M37">
        <v>0</v>
      </c>
      <c r="N37">
        <v>0</v>
      </c>
      <c r="O37">
        <v>1</v>
      </c>
      <c r="P37">
        <v>2</v>
      </c>
      <c r="Q37">
        <v>21</v>
      </c>
      <c r="R37">
        <v>125</v>
      </c>
      <c r="S37">
        <v>0</v>
      </c>
      <c r="T37">
        <v>0</v>
      </c>
      <c r="U37">
        <v>85</v>
      </c>
      <c r="V37">
        <v>0</v>
      </c>
      <c r="W37">
        <v>850</v>
      </c>
      <c r="X37">
        <v>625</v>
      </c>
      <c r="Y37">
        <v>0</v>
      </c>
      <c r="Z37">
        <v>0</v>
      </c>
      <c r="AA37">
        <v>425</v>
      </c>
      <c r="AB37">
        <v>0</v>
      </c>
      <c r="AC37">
        <v>21600</v>
      </c>
      <c r="AD37">
        <v>10</v>
      </c>
      <c r="AE37">
        <v>2</v>
      </c>
      <c r="AF37">
        <v>5</v>
      </c>
      <c r="AG37" t="s">
        <v>56</v>
      </c>
      <c r="AH37">
        <v>2</v>
      </c>
      <c r="AI37"/>
    </row>
    <row r="38" spans="1:35" x14ac:dyDescent="0.25">
      <c r="A38" t="s">
        <v>98</v>
      </c>
      <c r="B38">
        <v>106</v>
      </c>
      <c r="C38">
        <v>1</v>
      </c>
      <c r="D38" t="s">
        <v>41</v>
      </c>
      <c r="E38" t="s">
        <v>59</v>
      </c>
      <c r="F38" t="s">
        <v>65</v>
      </c>
      <c r="G38" t="s">
        <v>39</v>
      </c>
      <c r="H38" t="s">
        <v>30</v>
      </c>
      <c r="I38" t="s">
        <v>99</v>
      </c>
      <c r="J38">
        <v>140</v>
      </c>
      <c r="K38">
        <v>5</v>
      </c>
      <c r="L38">
        <v>1</v>
      </c>
      <c r="M38">
        <v>0</v>
      </c>
      <c r="N38">
        <v>0</v>
      </c>
      <c r="O38">
        <v>2</v>
      </c>
      <c r="P38">
        <v>3</v>
      </c>
      <c r="Q38">
        <v>15</v>
      </c>
      <c r="R38">
        <v>150</v>
      </c>
      <c r="S38">
        <v>20</v>
      </c>
      <c r="T38">
        <v>0</v>
      </c>
      <c r="U38">
        <v>140</v>
      </c>
      <c r="V38">
        <v>0</v>
      </c>
      <c r="W38">
        <v>950</v>
      </c>
      <c r="X38">
        <v>750</v>
      </c>
      <c r="Y38">
        <v>100</v>
      </c>
      <c r="Z38">
        <v>0</v>
      </c>
      <c r="AA38">
        <v>700</v>
      </c>
      <c r="AB38">
        <v>0</v>
      </c>
      <c r="AC38">
        <v>21600</v>
      </c>
      <c r="AD38">
        <v>10</v>
      </c>
      <c r="AE38">
        <v>2</v>
      </c>
      <c r="AF38">
        <v>20</v>
      </c>
      <c r="AG38" t="s">
        <v>56</v>
      </c>
      <c r="AH38">
        <v>2</v>
      </c>
      <c r="AI38"/>
    </row>
    <row r="39" spans="1:35" x14ac:dyDescent="0.25">
      <c r="AI39"/>
    </row>
    <row r="40" spans="1:35" x14ac:dyDescent="0.25">
      <c r="A40" t="s">
        <v>66</v>
      </c>
      <c r="B40">
        <v>107</v>
      </c>
      <c r="C40">
        <v>1</v>
      </c>
      <c r="D40" t="s">
        <v>37</v>
      </c>
      <c r="E40" t="s">
        <v>59</v>
      </c>
      <c r="F40" t="s">
        <v>67</v>
      </c>
      <c r="G40" t="s">
        <v>68</v>
      </c>
      <c r="H40" t="s">
        <v>30</v>
      </c>
      <c r="I40" t="s">
        <v>44</v>
      </c>
      <c r="J40">
        <v>100</v>
      </c>
      <c r="K40">
        <v>3</v>
      </c>
      <c r="L40">
        <v>5</v>
      </c>
      <c r="M40">
        <v>0</v>
      </c>
      <c r="N40">
        <v>0</v>
      </c>
      <c r="O40">
        <v>3</v>
      </c>
      <c r="P40">
        <v>1</v>
      </c>
      <c r="Q40">
        <v>1</v>
      </c>
      <c r="R40">
        <v>75</v>
      </c>
      <c r="S40">
        <v>200</v>
      </c>
      <c r="T40">
        <v>0</v>
      </c>
      <c r="U40">
        <v>375</v>
      </c>
      <c r="V40">
        <v>2</v>
      </c>
      <c r="W40">
        <v>1050</v>
      </c>
      <c r="X40">
        <v>600</v>
      </c>
      <c r="Y40">
        <v>1600</v>
      </c>
      <c r="Z40">
        <v>0</v>
      </c>
      <c r="AA40">
        <v>3000</v>
      </c>
      <c r="AB40">
        <v>0</v>
      </c>
      <c r="AC40">
        <v>28800</v>
      </c>
      <c r="AD40">
        <v>4</v>
      </c>
      <c r="AE40">
        <v>4</v>
      </c>
      <c r="AF40">
        <v>15</v>
      </c>
      <c r="AG40" t="s">
        <v>106</v>
      </c>
      <c r="AH40">
        <v>4</v>
      </c>
      <c r="AI40"/>
    </row>
    <row r="41" spans="1:35" x14ac:dyDescent="0.25">
      <c r="A41" t="s">
        <v>69</v>
      </c>
      <c r="B41">
        <v>108</v>
      </c>
      <c r="C41">
        <v>1</v>
      </c>
      <c r="D41" t="s">
        <v>70</v>
      </c>
      <c r="E41" t="s">
        <v>64</v>
      </c>
      <c r="F41" t="s">
        <v>67</v>
      </c>
      <c r="G41" t="s">
        <v>43</v>
      </c>
      <c r="H41" t="s">
        <v>30</v>
      </c>
      <c r="I41" t="s">
        <v>45</v>
      </c>
      <c r="J41">
        <v>160</v>
      </c>
      <c r="K41">
        <v>5</v>
      </c>
      <c r="L41">
        <v>2</v>
      </c>
      <c r="M41">
        <v>0</v>
      </c>
      <c r="N41">
        <v>0</v>
      </c>
      <c r="O41">
        <v>3</v>
      </c>
      <c r="P41">
        <v>3</v>
      </c>
      <c r="Q41">
        <v>1</v>
      </c>
      <c r="R41">
        <v>90</v>
      </c>
      <c r="S41">
        <v>120</v>
      </c>
      <c r="T41">
        <v>75</v>
      </c>
      <c r="U41">
        <v>500</v>
      </c>
      <c r="V41">
        <v>3</v>
      </c>
      <c r="W41">
        <v>1250</v>
      </c>
      <c r="X41">
        <v>720</v>
      </c>
      <c r="Y41">
        <v>960</v>
      </c>
      <c r="Z41">
        <v>600</v>
      </c>
      <c r="AA41">
        <v>4000</v>
      </c>
      <c r="AB41">
        <v>0</v>
      </c>
      <c r="AC41">
        <v>28800</v>
      </c>
      <c r="AD41">
        <v>4</v>
      </c>
      <c r="AE41">
        <v>5</v>
      </c>
      <c r="AF41">
        <v>0</v>
      </c>
      <c r="AG41" t="s">
        <v>106</v>
      </c>
      <c r="AH41">
        <v>5</v>
      </c>
      <c r="AI41"/>
    </row>
    <row r="42" spans="1:35" x14ac:dyDescent="0.25">
      <c r="AI42"/>
    </row>
    <row r="43" spans="1:35" x14ac:dyDescent="0.25">
      <c r="A43" t="s">
        <v>89</v>
      </c>
      <c r="B43">
        <v>401</v>
      </c>
      <c r="C43">
        <v>1</v>
      </c>
      <c r="D43" t="s">
        <v>29</v>
      </c>
      <c r="E43" t="s">
        <v>59</v>
      </c>
      <c r="F43" t="s">
        <v>65</v>
      </c>
      <c r="G43" t="s">
        <v>34</v>
      </c>
      <c r="H43" t="s">
        <v>30</v>
      </c>
      <c r="I43" t="s">
        <v>103</v>
      </c>
      <c r="J43">
        <v>70</v>
      </c>
      <c r="K43">
        <v>1</v>
      </c>
      <c r="L43">
        <v>1</v>
      </c>
      <c r="M43">
        <v>0</v>
      </c>
      <c r="N43">
        <v>0</v>
      </c>
      <c r="O43">
        <v>2</v>
      </c>
      <c r="P43">
        <v>1</v>
      </c>
      <c r="Q43">
        <v>10</v>
      </c>
      <c r="R43">
        <v>250</v>
      </c>
      <c r="S43">
        <v>15</v>
      </c>
      <c r="T43">
        <v>0</v>
      </c>
      <c r="U43">
        <v>100</v>
      </c>
      <c r="V43">
        <v>2</v>
      </c>
      <c r="W43">
        <v>2800</v>
      </c>
      <c r="X43">
        <v>625</v>
      </c>
      <c r="Y43">
        <v>37.5</v>
      </c>
      <c r="Z43">
        <v>0</v>
      </c>
      <c r="AA43">
        <v>250</v>
      </c>
      <c r="AB43">
        <v>0</v>
      </c>
      <c r="AC43">
        <v>21600</v>
      </c>
      <c r="AD43">
        <v>10</v>
      </c>
      <c r="AE43">
        <v>2</v>
      </c>
      <c r="AF43">
        <v>60</v>
      </c>
      <c r="AG43" t="s">
        <v>90</v>
      </c>
      <c r="AH43">
        <v>1</v>
      </c>
      <c r="AI43"/>
    </row>
    <row r="44" spans="1:35" x14ac:dyDescent="0.25">
      <c r="AI44"/>
    </row>
    <row r="45" spans="1:35" x14ac:dyDescent="0.25">
      <c r="AI45"/>
    </row>
    <row r="46" spans="1:35" x14ac:dyDescent="0.25">
      <c r="AI46"/>
    </row>
    <row r="47" spans="1:35" x14ac:dyDescent="0.25">
      <c r="AI47"/>
    </row>
    <row r="48" spans="1:35" x14ac:dyDescent="0.25">
      <c r="C48" t="s">
        <v>73</v>
      </c>
      <c r="AI48"/>
    </row>
    <row r="49" spans="3:36" x14ac:dyDescent="0.25">
      <c r="AI49"/>
    </row>
    <row r="50" spans="3:36" x14ac:dyDescent="0.25">
      <c r="C50" t="s">
        <v>74</v>
      </c>
      <c r="D50">
        <v>201</v>
      </c>
      <c r="E50">
        <v>1</v>
      </c>
      <c r="F50" t="s">
        <v>29</v>
      </c>
      <c r="G50" t="s">
        <v>59</v>
      </c>
      <c r="H50" t="s">
        <v>60</v>
      </c>
      <c r="I50" t="s">
        <v>34</v>
      </c>
      <c r="J50" t="s">
        <v>30</v>
      </c>
      <c r="K50" t="s">
        <v>35</v>
      </c>
      <c r="L50">
        <v>70</v>
      </c>
      <c r="M50">
        <v>40</v>
      </c>
      <c r="N50">
        <v>0</v>
      </c>
      <c r="O50">
        <v>30</v>
      </c>
      <c r="P50">
        <v>0</v>
      </c>
      <c r="Q50">
        <v>5</v>
      </c>
      <c r="R50">
        <v>2</v>
      </c>
      <c r="S50">
        <v>4</v>
      </c>
      <c r="T50">
        <v>80</v>
      </c>
      <c r="U50">
        <v>0</v>
      </c>
      <c r="V50">
        <v>0</v>
      </c>
      <c r="W50">
        <v>60</v>
      </c>
      <c r="X50">
        <v>0</v>
      </c>
      <c r="Y50">
        <v>1900</v>
      </c>
      <c r="Z50">
        <v>200</v>
      </c>
      <c r="AA50">
        <v>0</v>
      </c>
      <c r="AB50">
        <v>0</v>
      </c>
      <c r="AC50">
        <v>200</v>
      </c>
      <c r="AD50">
        <v>0</v>
      </c>
      <c r="AE50">
        <v>2000</v>
      </c>
      <c r="AF50">
        <v>10</v>
      </c>
      <c r="AG50">
        <v>1</v>
      </c>
      <c r="AI50">
        <v>10</v>
      </c>
      <c r="AJ50" t="s">
        <v>56</v>
      </c>
    </row>
    <row r="51" spans="3:36" x14ac:dyDescent="0.25">
      <c r="C51" t="s">
        <v>75</v>
      </c>
      <c r="D51">
        <v>202</v>
      </c>
      <c r="E51">
        <v>1</v>
      </c>
      <c r="F51" t="s">
        <v>37</v>
      </c>
      <c r="G51" t="s">
        <v>59</v>
      </c>
      <c r="H51" t="s">
        <v>60</v>
      </c>
      <c r="I51" t="s">
        <v>34</v>
      </c>
      <c r="J51" t="s">
        <v>30</v>
      </c>
      <c r="K51" t="s">
        <v>38</v>
      </c>
      <c r="L51">
        <v>40</v>
      </c>
      <c r="M51">
        <v>15</v>
      </c>
      <c r="N51">
        <v>0</v>
      </c>
      <c r="O51">
        <v>30</v>
      </c>
      <c r="P51">
        <v>0</v>
      </c>
      <c r="Q51">
        <v>12</v>
      </c>
      <c r="R51">
        <v>15</v>
      </c>
      <c r="S51">
        <v>3</v>
      </c>
      <c r="T51">
        <v>60</v>
      </c>
      <c r="U51">
        <v>0</v>
      </c>
      <c r="V51">
        <v>0</v>
      </c>
      <c r="W51">
        <v>100</v>
      </c>
      <c r="X51">
        <v>0</v>
      </c>
      <c r="Y51">
        <v>2100</v>
      </c>
      <c r="Z51">
        <v>200</v>
      </c>
      <c r="AA51">
        <v>0</v>
      </c>
      <c r="AB51">
        <v>0</v>
      </c>
      <c r="AC51">
        <v>200</v>
      </c>
      <c r="AD51">
        <v>0</v>
      </c>
      <c r="AE51">
        <v>2000</v>
      </c>
      <c r="AF51">
        <v>10</v>
      </c>
      <c r="AG51">
        <v>1</v>
      </c>
      <c r="AI51">
        <v>3</v>
      </c>
      <c r="AJ51" t="s">
        <v>56</v>
      </c>
    </row>
    <row r="52" spans="3:36" x14ac:dyDescent="0.25">
      <c r="C52" t="s">
        <v>76</v>
      </c>
      <c r="D52">
        <v>203</v>
      </c>
      <c r="E52">
        <v>1</v>
      </c>
      <c r="F52" t="s">
        <v>37</v>
      </c>
      <c r="G52" t="s">
        <v>64</v>
      </c>
      <c r="H52" t="s">
        <v>60</v>
      </c>
      <c r="I52" t="s">
        <v>34</v>
      </c>
      <c r="J52" t="s">
        <v>30</v>
      </c>
      <c r="K52" t="s">
        <v>38</v>
      </c>
      <c r="L52">
        <v>40</v>
      </c>
      <c r="M52">
        <v>15</v>
      </c>
      <c r="N52">
        <v>0</v>
      </c>
      <c r="O52">
        <v>30</v>
      </c>
      <c r="P52">
        <v>0</v>
      </c>
      <c r="Q52">
        <v>12</v>
      </c>
      <c r="R52">
        <v>15</v>
      </c>
      <c r="S52">
        <v>3</v>
      </c>
      <c r="T52">
        <v>60</v>
      </c>
      <c r="U52">
        <v>0</v>
      </c>
      <c r="V52">
        <v>0</v>
      </c>
      <c r="W52">
        <v>100</v>
      </c>
      <c r="X52">
        <v>0</v>
      </c>
      <c r="Y52">
        <v>2100</v>
      </c>
      <c r="Z52">
        <v>200</v>
      </c>
      <c r="AA52">
        <v>0</v>
      </c>
      <c r="AB52">
        <v>0</v>
      </c>
      <c r="AC52">
        <v>200</v>
      </c>
      <c r="AD52">
        <v>0</v>
      </c>
      <c r="AE52">
        <v>2000</v>
      </c>
      <c r="AF52">
        <v>10</v>
      </c>
      <c r="AG52">
        <v>1</v>
      </c>
      <c r="AI52">
        <v>3</v>
      </c>
      <c r="AJ52" t="s">
        <v>56</v>
      </c>
    </row>
    <row r="53" spans="3:36" x14ac:dyDescent="0.25">
      <c r="AI53"/>
    </row>
    <row r="54" spans="3:36" x14ac:dyDescent="0.25">
      <c r="C54" t="s">
        <v>93</v>
      </c>
      <c r="D54">
        <v>204</v>
      </c>
      <c r="E54">
        <v>1</v>
      </c>
      <c r="F54" t="s">
        <v>41</v>
      </c>
      <c r="G54" t="s">
        <v>59</v>
      </c>
      <c r="H54" t="s">
        <v>65</v>
      </c>
      <c r="I54" t="s">
        <v>39</v>
      </c>
      <c r="J54" t="s">
        <v>30</v>
      </c>
      <c r="K54" t="s">
        <v>92</v>
      </c>
      <c r="L54">
        <v>50</v>
      </c>
      <c r="M54">
        <v>70</v>
      </c>
      <c r="N54">
        <v>0</v>
      </c>
      <c r="O54">
        <v>15</v>
      </c>
      <c r="P54">
        <v>0</v>
      </c>
      <c r="Q54">
        <v>5</v>
      </c>
      <c r="R54">
        <v>5</v>
      </c>
      <c r="S54">
        <v>18</v>
      </c>
      <c r="T54">
        <v>250</v>
      </c>
      <c r="U54">
        <v>0</v>
      </c>
      <c r="V54">
        <v>0</v>
      </c>
      <c r="W54">
        <v>170</v>
      </c>
      <c r="X54">
        <v>0</v>
      </c>
      <c r="Y54">
        <v>6800</v>
      </c>
      <c r="Z54">
        <v>400</v>
      </c>
      <c r="AA54">
        <v>0</v>
      </c>
      <c r="AB54">
        <v>0</v>
      </c>
      <c r="AC54">
        <v>400</v>
      </c>
      <c r="AD54">
        <v>0</v>
      </c>
      <c r="AE54">
        <v>3000</v>
      </c>
      <c r="AF54">
        <v>10</v>
      </c>
      <c r="AG54">
        <v>1</v>
      </c>
      <c r="AI54">
        <v>30</v>
      </c>
      <c r="AJ54" t="s">
        <v>56</v>
      </c>
    </row>
    <row r="55" spans="3:36" x14ac:dyDescent="0.25">
      <c r="C55" t="s">
        <v>94</v>
      </c>
      <c r="D55">
        <v>205</v>
      </c>
      <c r="E55">
        <v>1</v>
      </c>
      <c r="F55" t="s">
        <v>37</v>
      </c>
      <c r="G55" t="s">
        <v>59</v>
      </c>
      <c r="H55" t="s">
        <v>65</v>
      </c>
      <c r="I55" t="s">
        <v>39</v>
      </c>
      <c r="J55" t="s">
        <v>30</v>
      </c>
      <c r="K55" t="s">
        <v>92</v>
      </c>
      <c r="L55">
        <v>60</v>
      </c>
      <c r="M55">
        <v>35</v>
      </c>
      <c r="N55">
        <v>0</v>
      </c>
      <c r="O55">
        <v>40</v>
      </c>
      <c r="P55">
        <v>0</v>
      </c>
      <c r="Q55">
        <v>5</v>
      </c>
      <c r="R55">
        <v>5</v>
      </c>
      <c r="S55">
        <v>18</v>
      </c>
      <c r="T55">
        <v>250</v>
      </c>
      <c r="U55">
        <v>0</v>
      </c>
      <c r="V55">
        <v>0</v>
      </c>
      <c r="W55">
        <v>170</v>
      </c>
      <c r="X55">
        <v>0</v>
      </c>
      <c r="Y55">
        <v>6800</v>
      </c>
      <c r="Z55">
        <v>400</v>
      </c>
      <c r="AA55">
        <v>0</v>
      </c>
      <c r="AB55">
        <v>0</v>
      </c>
      <c r="AC55">
        <v>400</v>
      </c>
      <c r="AD55">
        <v>0</v>
      </c>
      <c r="AE55">
        <v>3000</v>
      </c>
      <c r="AF55">
        <v>10</v>
      </c>
      <c r="AG55">
        <v>1</v>
      </c>
      <c r="AI55">
        <v>30</v>
      </c>
      <c r="AJ55" t="s">
        <v>56</v>
      </c>
    </row>
    <row r="56" spans="3:36" x14ac:dyDescent="0.25">
      <c r="AI56"/>
    </row>
    <row r="57" spans="3:36" x14ac:dyDescent="0.25">
      <c r="C57" t="s">
        <v>77</v>
      </c>
      <c r="D57">
        <v>206</v>
      </c>
      <c r="E57">
        <v>1</v>
      </c>
      <c r="F57" t="s">
        <v>37</v>
      </c>
      <c r="G57" t="s">
        <v>64</v>
      </c>
      <c r="H57" t="s">
        <v>67</v>
      </c>
      <c r="I57" t="s">
        <v>43</v>
      </c>
      <c r="J57" t="s">
        <v>30</v>
      </c>
      <c r="K57" t="s">
        <v>44</v>
      </c>
      <c r="L57">
        <v>100</v>
      </c>
      <c r="M57">
        <v>45</v>
      </c>
      <c r="N57">
        <v>0</v>
      </c>
      <c r="O57">
        <v>25</v>
      </c>
      <c r="P57">
        <v>0</v>
      </c>
      <c r="Q57">
        <v>0</v>
      </c>
      <c r="R57">
        <v>10</v>
      </c>
      <c r="S57">
        <v>2</v>
      </c>
      <c r="T57">
        <v>150</v>
      </c>
      <c r="U57">
        <v>200</v>
      </c>
      <c r="V57">
        <v>0</v>
      </c>
      <c r="W57">
        <v>500</v>
      </c>
      <c r="X57">
        <v>0</v>
      </c>
      <c r="Y57">
        <v>45000</v>
      </c>
      <c r="Z57">
        <v>500</v>
      </c>
      <c r="AA57">
        <v>0</v>
      </c>
      <c r="AB57">
        <v>0</v>
      </c>
      <c r="AC57">
        <v>500</v>
      </c>
      <c r="AD57">
        <v>0</v>
      </c>
      <c r="AE57">
        <v>5000</v>
      </c>
      <c r="AF57">
        <v>10</v>
      </c>
      <c r="AG57">
        <v>1</v>
      </c>
      <c r="AI57">
        <v>0</v>
      </c>
      <c r="AJ57" t="s">
        <v>56</v>
      </c>
    </row>
    <row r="58" spans="3:36" x14ac:dyDescent="0.25">
      <c r="C58" t="s">
        <v>78</v>
      </c>
      <c r="D58">
        <v>207</v>
      </c>
      <c r="E58">
        <v>1</v>
      </c>
      <c r="F58" t="s">
        <v>37</v>
      </c>
      <c r="G58" t="s">
        <v>59</v>
      </c>
      <c r="H58" t="s">
        <v>67</v>
      </c>
      <c r="I58" t="s">
        <v>68</v>
      </c>
      <c r="J58" t="s">
        <v>30</v>
      </c>
      <c r="K58" t="s">
        <v>44</v>
      </c>
      <c r="L58">
        <v>100</v>
      </c>
      <c r="M58">
        <v>45</v>
      </c>
      <c r="N58">
        <v>0</v>
      </c>
      <c r="O58">
        <v>25</v>
      </c>
      <c r="P58">
        <v>0</v>
      </c>
      <c r="Q58">
        <v>0</v>
      </c>
      <c r="R58">
        <v>10</v>
      </c>
      <c r="S58">
        <v>2</v>
      </c>
      <c r="T58">
        <v>150</v>
      </c>
      <c r="U58">
        <v>200</v>
      </c>
      <c r="V58">
        <v>0</v>
      </c>
      <c r="W58">
        <v>500</v>
      </c>
      <c r="X58">
        <v>0</v>
      </c>
      <c r="Y58">
        <v>45000</v>
      </c>
      <c r="Z58">
        <v>500</v>
      </c>
      <c r="AA58">
        <v>0</v>
      </c>
      <c r="AB58">
        <v>0</v>
      </c>
      <c r="AC58">
        <v>500</v>
      </c>
      <c r="AD58">
        <v>0</v>
      </c>
      <c r="AE58">
        <v>5000</v>
      </c>
      <c r="AF58">
        <v>10</v>
      </c>
      <c r="AG58">
        <v>1</v>
      </c>
      <c r="AI58">
        <v>0</v>
      </c>
      <c r="AJ58" t="s">
        <v>56</v>
      </c>
    </row>
    <row r="59" spans="3:36" x14ac:dyDescent="0.25">
      <c r="C59" t="s">
        <v>79</v>
      </c>
      <c r="D59">
        <v>208</v>
      </c>
      <c r="E59">
        <v>1</v>
      </c>
      <c r="F59" t="s">
        <v>70</v>
      </c>
      <c r="G59" t="s">
        <v>64</v>
      </c>
      <c r="H59" t="s">
        <v>67</v>
      </c>
      <c r="I59" t="s">
        <v>43</v>
      </c>
      <c r="J59" t="s">
        <v>30</v>
      </c>
      <c r="K59" t="s">
        <v>45</v>
      </c>
      <c r="L59">
        <v>100</v>
      </c>
      <c r="M59">
        <v>120</v>
      </c>
      <c r="N59">
        <v>0</v>
      </c>
      <c r="O59">
        <v>120</v>
      </c>
      <c r="P59">
        <v>0</v>
      </c>
      <c r="Q59">
        <v>5</v>
      </c>
      <c r="R59">
        <v>12</v>
      </c>
      <c r="S59">
        <v>2</v>
      </c>
      <c r="T59">
        <v>180</v>
      </c>
      <c r="U59">
        <v>500</v>
      </c>
      <c r="V59">
        <v>0</v>
      </c>
      <c r="W59">
        <v>750</v>
      </c>
      <c r="X59">
        <v>0</v>
      </c>
      <c r="Y59">
        <v>45000</v>
      </c>
      <c r="Z59">
        <v>500</v>
      </c>
      <c r="AA59">
        <v>0</v>
      </c>
      <c r="AB59">
        <v>0</v>
      </c>
      <c r="AC59">
        <v>500</v>
      </c>
      <c r="AD59">
        <v>0</v>
      </c>
      <c r="AE59">
        <v>5000</v>
      </c>
      <c r="AF59">
        <v>10</v>
      </c>
      <c r="AG59">
        <v>1</v>
      </c>
      <c r="AI59">
        <v>0</v>
      </c>
      <c r="AJ59" t="s">
        <v>56</v>
      </c>
    </row>
    <row r="60" spans="3:36" x14ac:dyDescent="0.25">
      <c r="AI60"/>
    </row>
    <row r="61" spans="3:36" x14ac:dyDescent="0.25">
      <c r="C61" t="s">
        <v>73</v>
      </c>
      <c r="AI61"/>
    </row>
    <row r="62" spans="3:36" x14ac:dyDescent="0.25">
      <c r="AI62"/>
    </row>
    <row r="63" spans="3:36" x14ac:dyDescent="0.25">
      <c r="C63" t="s">
        <v>80</v>
      </c>
      <c r="D63">
        <v>301</v>
      </c>
      <c r="E63">
        <v>1</v>
      </c>
      <c r="F63" t="s">
        <v>29</v>
      </c>
      <c r="G63" t="s">
        <v>59</v>
      </c>
      <c r="H63" t="s">
        <v>60</v>
      </c>
      <c r="I63" t="s">
        <v>34</v>
      </c>
      <c r="J63" t="s">
        <v>30</v>
      </c>
      <c r="K63" t="s">
        <v>35</v>
      </c>
      <c r="L63">
        <v>70</v>
      </c>
      <c r="M63">
        <v>40</v>
      </c>
      <c r="N63">
        <v>0</v>
      </c>
      <c r="O63">
        <v>30</v>
      </c>
      <c r="P63">
        <v>0</v>
      </c>
      <c r="Q63">
        <v>5</v>
      </c>
      <c r="R63">
        <v>2</v>
      </c>
      <c r="S63">
        <v>4</v>
      </c>
      <c r="T63">
        <v>80</v>
      </c>
      <c r="U63">
        <v>0</v>
      </c>
      <c r="V63">
        <v>0</v>
      </c>
      <c r="W63">
        <v>60</v>
      </c>
      <c r="X63">
        <v>0</v>
      </c>
      <c r="Y63">
        <v>1900</v>
      </c>
      <c r="Z63">
        <v>200</v>
      </c>
      <c r="AA63">
        <v>0</v>
      </c>
      <c r="AB63">
        <v>0</v>
      </c>
      <c r="AC63">
        <v>200</v>
      </c>
      <c r="AD63">
        <v>0</v>
      </c>
      <c r="AE63">
        <v>2000</v>
      </c>
      <c r="AF63">
        <v>10</v>
      </c>
      <c r="AG63">
        <v>1</v>
      </c>
      <c r="AI63">
        <v>10</v>
      </c>
      <c r="AJ63" t="s">
        <v>56</v>
      </c>
    </row>
    <row r="64" spans="3:36" x14ac:dyDescent="0.25">
      <c r="C64" t="s">
        <v>81</v>
      </c>
      <c r="D64">
        <v>302</v>
      </c>
      <c r="E64">
        <v>1</v>
      </c>
      <c r="F64" t="s">
        <v>37</v>
      </c>
      <c r="G64" t="s">
        <v>59</v>
      </c>
      <c r="H64" t="s">
        <v>60</v>
      </c>
      <c r="I64" t="s">
        <v>34</v>
      </c>
      <c r="J64" t="s">
        <v>30</v>
      </c>
      <c r="K64" t="s">
        <v>38</v>
      </c>
      <c r="L64">
        <v>40</v>
      </c>
      <c r="M64">
        <v>15</v>
      </c>
      <c r="N64">
        <v>0</v>
      </c>
      <c r="O64">
        <v>30</v>
      </c>
      <c r="P64">
        <v>0</v>
      </c>
      <c r="Q64">
        <v>12</v>
      </c>
      <c r="R64">
        <v>15</v>
      </c>
      <c r="S64">
        <v>3</v>
      </c>
      <c r="T64">
        <v>60</v>
      </c>
      <c r="U64">
        <v>0</v>
      </c>
      <c r="V64">
        <v>0</v>
      </c>
      <c r="W64">
        <v>100</v>
      </c>
      <c r="X64">
        <v>0</v>
      </c>
      <c r="Y64">
        <v>2100</v>
      </c>
      <c r="Z64">
        <v>200</v>
      </c>
      <c r="AA64">
        <v>0</v>
      </c>
      <c r="AB64">
        <v>0</v>
      </c>
      <c r="AC64">
        <v>200</v>
      </c>
      <c r="AD64">
        <v>0</v>
      </c>
      <c r="AE64">
        <v>2000</v>
      </c>
      <c r="AF64">
        <v>10</v>
      </c>
      <c r="AG64">
        <v>1</v>
      </c>
      <c r="AI64">
        <v>3</v>
      </c>
      <c r="AJ64" t="s">
        <v>56</v>
      </c>
    </row>
    <row r="65" spans="3:36" x14ac:dyDescent="0.25">
      <c r="AI65"/>
    </row>
    <row r="66" spans="3:36" x14ac:dyDescent="0.25">
      <c r="C66" t="s">
        <v>95</v>
      </c>
      <c r="D66">
        <v>303</v>
      </c>
      <c r="E66">
        <v>1</v>
      </c>
      <c r="F66" t="s">
        <v>41</v>
      </c>
      <c r="G66" t="s">
        <v>64</v>
      </c>
      <c r="H66" t="s">
        <v>65</v>
      </c>
      <c r="I66" t="s">
        <v>34</v>
      </c>
      <c r="J66" t="s">
        <v>30</v>
      </c>
      <c r="K66" t="s">
        <v>92</v>
      </c>
      <c r="L66">
        <v>50</v>
      </c>
      <c r="M66">
        <v>70</v>
      </c>
      <c r="N66">
        <v>0</v>
      </c>
      <c r="O66">
        <v>15</v>
      </c>
      <c r="P66">
        <v>0</v>
      </c>
      <c r="Q66">
        <v>5</v>
      </c>
      <c r="R66">
        <v>5</v>
      </c>
      <c r="S66">
        <v>18</v>
      </c>
      <c r="T66">
        <v>250</v>
      </c>
      <c r="U66">
        <v>0</v>
      </c>
      <c r="V66">
        <v>0</v>
      </c>
      <c r="W66">
        <v>170</v>
      </c>
      <c r="X66">
        <v>0</v>
      </c>
      <c r="Y66">
        <v>6800</v>
      </c>
      <c r="Z66">
        <v>400</v>
      </c>
      <c r="AA66">
        <v>0</v>
      </c>
      <c r="AB66">
        <v>0</v>
      </c>
      <c r="AC66">
        <v>400</v>
      </c>
      <c r="AD66">
        <v>0</v>
      </c>
      <c r="AE66">
        <v>3000</v>
      </c>
      <c r="AF66">
        <v>10</v>
      </c>
      <c r="AG66">
        <v>1</v>
      </c>
      <c r="AI66">
        <v>30</v>
      </c>
      <c r="AJ66" t="s">
        <v>56</v>
      </c>
    </row>
    <row r="67" spans="3:36" x14ac:dyDescent="0.25">
      <c r="C67" t="s">
        <v>97</v>
      </c>
      <c r="D67">
        <v>304</v>
      </c>
      <c r="E67">
        <v>1</v>
      </c>
      <c r="F67" t="s">
        <v>29</v>
      </c>
      <c r="G67" t="s">
        <v>64</v>
      </c>
      <c r="H67" t="s">
        <v>65</v>
      </c>
      <c r="I67" t="s">
        <v>39</v>
      </c>
      <c r="J67" t="s">
        <v>30</v>
      </c>
      <c r="K67" t="s">
        <v>99</v>
      </c>
      <c r="L67">
        <v>80</v>
      </c>
      <c r="M67">
        <v>40</v>
      </c>
      <c r="N67">
        <v>0</v>
      </c>
      <c r="O67">
        <v>35</v>
      </c>
      <c r="P67">
        <v>0</v>
      </c>
      <c r="Q67">
        <v>0</v>
      </c>
      <c r="R67">
        <v>2</v>
      </c>
      <c r="S67">
        <v>10</v>
      </c>
      <c r="T67">
        <v>300</v>
      </c>
      <c r="U67">
        <v>50</v>
      </c>
      <c r="V67">
        <v>0</v>
      </c>
      <c r="W67">
        <v>280</v>
      </c>
      <c r="X67">
        <v>0</v>
      </c>
      <c r="Y67">
        <v>14850</v>
      </c>
      <c r="Z67">
        <v>400</v>
      </c>
      <c r="AA67">
        <v>0</v>
      </c>
      <c r="AB67">
        <v>0</v>
      </c>
      <c r="AC67">
        <v>400</v>
      </c>
      <c r="AD67">
        <v>0</v>
      </c>
      <c r="AE67">
        <v>3000</v>
      </c>
      <c r="AF67">
        <v>10</v>
      </c>
      <c r="AG67">
        <v>1</v>
      </c>
      <c r="AI67">
        <v>20</v>
      </c>
      <c r="AJ67" t="s">
        <v>56</v>
      </c>
    </row>
    <row r="68" spans="3:36" x14ac:dyDescent="0.25">
      <c r="C68" t="s">
        <v>96</v>
      </c>
      <c r="D68">
        <v>305</v>
      </c>
      <c r="E68">
        <v>1</v>
      </c>
      <c r="F68" t="s">
        <v>37</v>
      </c>
      <c r="G68" t="s">
        <v>59</v>
      </c>
      <c r="H68" t="s">
        <v>65</v>
      </c>
      <c r="I68" t="s">
        <v>34</v>
      </c>
      <c r="J68" t="s">
        <v>30</v>
      </c>
      <c r="K68" t="s">
        <v>92</v>
      </c>
      <c r="L68">
        <v>50</v>
      </c>
      <c r="M68">
        <v>25</v>
      </c>
      <c r="N68">
        <v>0</v>
      </c>
      <c r="O68">
        <v>40</v>
      </c>
      <c r="P68">
        <v>0</v>
      </c>
      <c r="Q68">
        <v>5</v>
      </c>
      <c r="R68">
        <v>5</v>
      </c>
      <c r="S68">
        <v>18</v>
      </c>
      <c r="T68">
        <v>250</v>
      </c>
      <c r="U68">
        <v>0</v>
      </c>
      <c r="V68">
        <v>0</v>
      </c>
      <c r="W68">
        <v>170</v>
      </c>
      <c r="X68">
        <v>0</v>
      </c>
      <c r="Y68">
        <v>6800</v>
      </c>
      <c r="Z68">
        <v>400</v>
      </c>
      <c r="AA68">
        <v>0</v>
      </c>
      <c r="AB68">
        <v>0</v>
      </c>
      <c r="AC68">
        <v>400</v>
      </c>
      <c r="AD68">
        <v>0</v>
      </c>
      <c r="AE68">
        <v>3000</v>
      </c>
      <c r="AF68">
        <v>10</v>
      </c>
      <c r="AG68">
        <v>1</v>
      </c>
      <c r="AI68">
        <v>30</v>
      </c>
      <c r="AJ68" t="s">
        <v>56</v>
      </c>
    </row>
    <row r="69" spans="3:36" x14ac:dyDescent="0.25">
      <c r="C69" t="s">
        <v>82</v>
      </c>
      <c r="D69">
        <v>306</v>
      </c>
      <c r="E69">
        <v>1</v>
      </c>
      <c r="F69" t="s">
        <v>37</v>
      </c>
      <c r="G69" t="s">
        <v>59</v>
      </c>
      <c r="H69" t="s">
        <v>65</v>
      </c>
      <c r="I69" t="s">
        <v>39</v>
      </c>
      <c r="J69" t="s">
        <v>30</v>
      </c>
      <c r="K69" t="s">
        <v>92</v>
      </c>
      <c r="L69">
        <v>100</v>
      </c>
      <c r="M69">
        <v>50</v>
      </c>
      <c r="N69">
        <v>0</v>
      </c>
      <c r="O69">
        <v>20</v>
      </c>
      <c r="P69">
        <v>0</v>
      </c>
      <c r="Q69">
        <v>5</v>
      </c>
      <c r="R69">
        <v>5</v>
      </c>
      <c r="S69">
        <v>18</v>
      </c>
      <c r="T69">
        <v>250</v>
      </c>
      <c r="U69">
        <v>0</v>
      </c>
      <c r="V69">
        <v>0</v>
      </c>
      <c r="W69">
        <v>170</v>
      </c>
      <c r="X69">
        <v>0</v>
      </c>
      <c r="Y69">
        <v>6800</v>
      </c>
      <c r="Z69">
        <v>400</v>
      </c>
      <c r="AA69">
        <v>0</v>
      </c>
      <c r="AB69">
        <v>0</v>
      </c>
      <c r="AC69">
        <v>400</v>
      </c>
      <c r="AD69">
        <v>0</v>
      </c>
      <c r="AE69">
        <v>3000</v>
      </c>
      <c r="AF69">
        <v>10</v>
      </c>
      <c r="AG69">
        <v>1</v>
      </c>
      <c r="AI69">
        <v>30</v>
      </c>
      <c r="AJ69" t="s">
        <v>56</v>
      </c>
    </row>
    <row r="70" spans="3:36" x14ac:dyDescent="0.25">
      <c r="AI70"/>
    </row>
    <row r="71" spans="3:36" x14ac:dyDescent="0.25">
      <c r="C71" t="s">
        <v>83</v>
      </c>
      <c r="D71">
        <v>307</v>
      </c>
      <c r="E71">
        <v>1</v>
      </c>
      <c r="F71" t="s">
        <v>37</v>
      </c>
      <c r="G71" t="s">
        <v>59</v>
      </c>
      <c r="H71" t="s">
        <v>67</v>
      </c>
      <c r="I71" t="s">
        <v>68</v>
      </c>
      <c r="J71" t="s">
        <v>30</v>
      </c>
      <c r="K71" t="s">
        <v>44</v>
      </c>
      <c r="L71">
        <v>100</v>
      </c>
      <c r="M71">
        <v>45</v>
      </c>
      <c r="N71">
        <v>0</v>
      </c>
      <c r="O71">
        <v>25</v>
      </c>
      <c r="P71">
        <v>0</v>
      </c>
      <c r="Q71">
        <v>0</v>
      </c>
      <c r="R71">
        <v>10</v>
      </c>
      <c r="S71">
        <v>2</v>
      </c>
      <c r="T71">
        <v>150</v>
      </c>
      <c r="U71">
        <v>200</v>
      </c>
      <c r="V71">
        <v>0</v>
      </c>
      <c r="W71">
        <v>500</v>
      </c>
      <c r="X71">
        <v>0</v>
      </c>
      <c r="Y71">
        <v>45000</v>
      </c>
      <c r="Z71">
        <v>500</v>
      </c>
      <c r="AA71">
        <v>0</v>
      </c>
      <c r="AB71">
        <v>0</v>
      </c>
      <c r="AC71">
        <v>500</v>
      </c>
      <c r="AD71">
        <v>0</v>
      </c>
      <c r="AE71">
        <v>5000</v>
      </c>
      <c r="AF71">
        <v>10</v>
      </c>
      <c r="AG71">
        <v>1</v>
      </c>
      <c r="AI71">
        <v>0</v>
      </c>
      <c r="AJ71" t="s">
        <v>56</v>
      </c>
    </row>
    <row r="72" spans="3:36" x14ac:dyDescent="0.25">
      <c r="C72" t="s">
        <v>84</v>
      </c>
      <c r="D72">
        <v>308</v>
      </c>
      <c r="E72">
        <v>1</v>
      </c>
      <c r="F72" t="s">
        <v>70</v>
      </c>
      <c r="G72" t="s">
        <v>64</v>
      </c>
      <c r="H72" t="s">
        <v>67</v>
      </c>
      <c r="I72" t="s">
        <v>43</v>
      </c>
      <c r="J72" t="s">
        <v>30</v>
      </c>
      <c r="K72" t="s">
        <v>45</v>
      </c>
      <c r="L72">
        <v>100</v>
      </c>
      <c r="M72">
        <v>120</v>
      </c>
      <c r="N72">
        <v>0</v>
      </c>
      <c r="O72">
        <v>120</v>
      </c>
      <c r="P72">
        <v>0</v>
      </c>
      <c r="Q72">
        <v>5</v>
      </c>
      <c r="R72">
        <v>12</v>
      </c>
      <c r="S72">
        <v>2</v>
      </c>
      <c r="T72">
        <v>180</v>
      </c>
      <c r="U72">
        <v>500</v>
      </c>
      <c r="V72">
        <v>0</v>
      </c>
      <c r="W72">
        <v>750</v>
      </c>
      <c r="X72">
        <v>0</v>
      </c>
      <c r="Y72">
        <v>45000</v>
      </c>
      <c r="Z72">
        <v>500</v>
      </c>
      <c r="AA72">
        <v>0</v>
      </c>
      <c r="AB72">
        <v>0</v>
      </c>
      <c r="AC72">
        <v>500</v>
      </c>
      <c r="AD72">
        <v>0</v>
      </c>
      <c r="AE72">
        <v>5000</v>
      </c>
      <c r="AF72">
        <v>10</v>
      </c>
      <c r="AG72">
        <v>1</v>
      </c>
      <c r="AI72">
        <v>0</v>
      </c>
      <c r="AJ72" t="s">
        <v>56</v>
      </c>
    </row>
    <row r="73" spans="3:36" x14ac:dyDescent="0.25">
      <c r="AI73"/>
    </row>
    <row r="74" spans="3:36" x14ac:dyDescent="0.25">
      <c r="AI74"/>
    </row>
    <row r="75" spans="3:36" x14ac:dyDescent="0.25">
      <c r="C75" t="s">
        <v>85</v>
      </c>
      <c r="D75">
        <v>400</v>
      </c>
      <c r="E75">
        <v>1</v>
      </c>
      <c r="F75" t="s">
        <v>29</v>
      </c>
      <c r="G75" t="s">
        <v>59</v>
      </c>
      <c r="H75" t="s">
        <v>86</v>
      </c>
      <c r="I75" t="s">
        <v>68</v>
      </c>
      <c r="J75" t="s">
        <v>30</v>
      </c>
      <c r="K75" t="s">
        <v>92</v>
      </c>
      <c r="L75">
        <v>200</v>
      </c>
      <c r="M75">
        <v>50</v>
      </c>
      <c r="N75">
        <v>0</v>
      </c>
      <c r="O75">
        <v>50</v>
      </c>
      <c r="P75">
        <v>0</v>
      </c>
      <c r="Q75">
        <v>0</v>
      </c>
      <c r="R75">
        <v>5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10</v>
      </c>
      <c r="AG75">
        <v>1</v>
      </c>
      <c r="AI75">
        <v>0</v>
      </c>
      <c r="AJ75" t="s">
        <v>56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L122"/>
  <sheetViews>
    <sheetView topLeftCell="A87" workbookViewId="0">
      <selection activeCell="A113" sqref="A113:AH122"/>
    </sheetView>
  </sheetViews>
  <sheetFormatPr defaultRowHeight="15" x14ac:dyDescent="0.25"/>
  <cols>
    <col min="1" max="1" width="51.140625" customWidth="1"/>
  </cols>
  <sheetData>
    <row r="1" spans="1:38" x14ac:dyDescent="0.25">
      <c r="A1" t="s">
        <v>0</v>
      </c>
      <c r="B1" t="s">
        <v>1</v>
      </c>
      <c r="C1" t="s">
        <v>2</v>
      </c>
      <c r="D1" t="s">
        <v>3</v>
      </c>
      <c r="E1" t="s">
        <v>71</v>
      </c>
      <c r="F1" t="s">
        <v>4</v>
      </c>
      <c r="G1" t="s">
        <v>72</v>
      </c>
      <c r="H1" t="s">
        <v>5</v>
      </c>
      <c r="I1" t="s">
        <v>6</v>
      </c>
      <c r="J1" t="s">
        <v>7</v>
      </c>
      <c r="K1" t="s">
        <v>8</v>
      </c>
      <c r="L1" t="s">
        <v>105</v>
      </c>
      <c r="M1" t="s">
        <v>9</v>
      </c>
      <c r="N1" t="s">
        <v>10</v>
      </c>
      <c r="O1" t="s">
        <v>11</v>
      </c>
      <c r="P1" t="s">
        <v>12</v>
      </c>
      <c r="Q1" t="s">
        <v>13</v>
      </c>
      <c r="R1" t="s">
        <v>14</v>
      </c>
      <c r="S1" t="s">
        <v>15</v>
      </c>
      <c r="T1" t="s">
        <v>16</v>
      </c>
      <c r="U1" t="s">
        <v>17</v>
      </c>
      <c r="V1" t="s">
        <v>31</v>
      </c>
      <c r="W1" t="s">
        <v>18</v>
      </c>
      <c r="X1" t="s">
        <v>19</v>
      </c>
      <c r="Y1" t="s">
        <v>20</v>
      </c>
      <c r="Z1" t="s">
        <v>21</v>
      </c>
      <c r="AA1" t="s">
        <v>22</v>
      </c>
      <c r="AB1" t="s">
        <v>32</v>
      </c>
      <c r="AC1" t="s">
        <v>23</v>
      </c>
      <c r="AD1" t="s">
        <v>24</v>
      </c>
      <c r="AE1" t="s">
        <v>25</v>
      </c>
      <c r="AF1" t="s">
        <v>57</v>
      </c>
      <c r="AG1" t="s">
        <v>100</v>
      </c>
      <c r="AH1" t="s">
        <v>104</v>
      </c>
      <c r="AI1" t="s">
        <v>33</v>
      </c>
      <c r="AJ1" t="s">
        <v>26</v>
      </c>
      <c r="AK1" t="s">
        <v>27</v>
      </c>
      <c r="AL1" t="s">
        <v>28</v>
      </c>
    </row>
    <row r="3" spans="1:38" x14ac:dyDescent="0.25">
      <c r="A3" t="s">
        <v>87</v>
      </c>
      <c r="B3">
        <v>11</v>
      </c>
      <c r="C3">
        <v>1</v>
      </c>
      <c r="D3" t="s">
        <v>29</v>
      </c>
      <c r="E3" t="s">
        <v>59</v>
      </c>
      <c r="F3" t="s">
        <v>60</v>
      </c>
      <c r="G3" t="s">
        <v>34</v>
      </c>
      <c r="H3" t="s">
        <v>30</v>
      </c>
      <c r="I3" t="s">
        <v>101</v>
      </c>
      <c r="J3" s="1">
        <v>90</v>
      </c>
      <c r="K3" s="10">
        <v>3</v>
      </c>
      <c r="L3" s="1">
        <v>1</v>
      </c>
      <c r="M3" s="1">
        <v>0</v>
      </c>
      <c r="N3" s="1">
        <v>0</v>
      </c>
      <c r="O3" s="1">
        <v>1</v>
      </c>
      <c r="P3" s="1">
        <v>1</v>
      </c>
      <c r="Q3" s="1">
        <v>3</v>
      </c>
      <c r="R3" s="1">
        <v>14</v>
      </c>
      <c r="S3" s="1">
        <v>0</v>
      </c>
      <c r="T3" s="1">
        <v>0</v>
      </c>
      <c r="U3" s="1">
        <v>10</v>
      </c>
      <c r="V3" s="1">
        <v>1</v>
      </c>
      <c r="W3" s="1">
        <v>1300</v>
      </c>
      <c r="X3" s="1">
        <v>400</v>
      </c>
      <c r="Y3" s="1">
        <v>0</v>
      </c>
      <c r="Z3" s="1">
        <v>0</v>
      </c>
      <c r="AA3" s="1">
        <v>300</v>
      </c>
      <c r="AB3" s="1">
        <v>0</v>
      </c>
      <c r="AC3" s="1">
        <v>10800</v>
      </c>
      <c r="AD3" s="1">
        <v>20</v>
      </c>
      <c r="AE3" s="1">
        <v>1</v>
      </c>
      <c r="AF3" s="1">
        <v>25</v>
      </c>
      <c r="AG3" s="1" t="s">
        <v>55</v>
      </c>
      <c r="AH3" s="1">
        <v>1</v>
      </c>
    </row>
    <row r="4" spans="1:38" x14ac:dyDescent="0.25">
      <c r="A4" t="s">
        <v>87</v>
      </c>
      <c r="B4">
        <v>11</v>
      </c>
      <c r="C4">
        <v>2</v>
      </c>
      <c r="D4" t="s">
        <v>29</v>
      </c>
      <c r="E4" t="s">
        <v>59</v>
      </c>
      <c r="F4" t="s">
        <v>60</v>
      </c>
      <c r="G4" t="s">
        <v>34</v>
      </c>
      <c r="H4" t="s">
        <v>30</v>
      </c>
      <c r="I4" t="s">
        <v>101</v>
      </c>
      <c r="J4" s="1">
        <v>97.2</v>
      </c>
      <c r="K4" s="10">
        <v>3.24</v>
      </c>
      <c r="L4" s="1">
        <v>1</v>
      </c>
      <c r="M4" s="1">
        <v>0</v>
      </c>
      <c r="N4" s="1">
        <v>0</v>
      </c>
      <c r="O4" s="1">
        <v>1</v>
      </c>
      <c r="P4" s="1">
        <v>1</v>
      </c>
      <c r="Q4" s="1">
        <v>3</v>
      </c>
      <c r="R4" s="1">
        <v>14.700000000000001</v>
      </c>
      <c r="S4" s="1">
        <v>0</v>
      </c>
      <c r="T4" s="1">
        <v>0</v>
      </c>
      <c r="U4" s="1">
        <v>10.5</v>
      </c>
      <c r="V4" s="1">
        <v>1</v>
      </c>
      <c r="W4" s="1">
        <v>1404</v>
      </c>
      <c r="X4" s="1">
        <v>580</v>
      </c>
      <c r="Y4" s="1">
        <v>0</v>
      </c>
      <c r="Z4" s="1">
        <v>0</v>
      </c>
      <c r="AA4" s="1">
        <v>435</v>
      </c>
      <c r="AB4" s="1">
        <v>0</v>
      </c>
      <c r="AC4" s="1">
        <v>14040</v>
      </c>
      <c r="AD4" s="1">
        <v>21.6</v>
      </c>
      <c r="AE4" s="1">
        <v>1</v>
      </c>
      <c r="AF4" s="1">
        <v>26.25</v>
      </c>
      <c r="AG4" s="1" t="s">
        <v>55</v>
      </c>
      <c r="AH4" s="1">
        <v>1</v>
      </c>
    </row>
    <row r="5" spans="1:38" x14ac:dyDescent="0.25">
      <c r="A5" t="s">
        <v>87</v>
      </c>
      <c r="B5">
        <v>11</v>
      </c>
      <c r="C5">
        <v>3</v>
      </c>
      <c r="D5" t="s">
        <v>29</v>
      </c>
      <c r="E5" t="s">
        <v>59</v>
      </c>
      <c r="F5" t="s">
        <v>60</v>
      </c>
      <c r="G5" t="s">
        <v>34</v>
      </c>
      <c r="H5" t="s">
        <v>30</v>
      </c>
      <c r="I5" t="s">
        <v>101</v>
      </c>
      <c r="J5" s="1">
        <v>104.97600000000001</v>
      </c>
      <c r="K5" s="10">
        <v>3.4992000000000005</v>
      </c>
      <c r="L5" s="1">
        <v>1</v>
      </c>
      <c r="M5" s="1">
        <v>0</v>
      </c>
      <c r="N5" s="1">
        <v>0</v>
      </c>
      <c r="O5" s="1">
        <v>1</v>
      </c>
      <c r="P5" s="1">
        <v>1</v>
      </c>
      <c r="Q5" s="1">
        <v>4</v>
      </c>
      <c r="R5" s="1">
        <v>15.435000000000002</v>
      </c>
      <c r="S5" s="1">
        <v>0</v>
      </c>
      <c r="T5" s="1">
        <v>0</v>
      </c>
      <c r="U5" s="1">
        <v>11.025</v>
      </c>
      <c r="V5" s="1">
        <v>1</v>
      </c>
      <c r="W5" s="1">
        <v>1516.3200000000002</v>
      </c>
      <c r="X5" s="1">
        <v>841</v>
      </c>
      <c r="Y5" s="1">
        <v>0</v>
      </c>
      <c r="Z5" s="1">
        <v>0</v>
      </c>
      <c r="AA5" s="1">
        <v>630.75</v>
      </c>
      <c r="AB5" s="1">
        <v>0</v>
      </c>
      <c r="AC5" s="1">
        <v>18252</v>
      </c>
      <c r="AD5" s="1">
        <v>23.328000000000003</v>
      </c>
      <c r="AE5" s="1">
        <v>1</v>
      </c>
      <c r="AF5" s="1">
        <v>27.5625</v>
      </c>
      <c r="AG5" s="1" t="s">
        <v>55</v>
      </c>
      <c r="AH5" s="1">
        <v>1</v>
      </c>
    </row>
    <row r="6" spans="1:38" x14ac:dyDescent="0.25">
      <c r="A6" t="s">
        <v>87</v>
      </c>
      <c r="B6">
        <v>11</v>
      </c>
      <c r="C6">
        <v>4</v>
      </c>
      <c r="D6" t="s">
        <v>29</v>
      </c>
      <c r="E6" t="s">
        <v>59</v>
      </c>
      <c r="F6" t="s">
        <v>60</v>
      </c>
      <c r="G6" t="s">
        <v>34</v>
      </c>
      <c r="H6" t="s">
        <v>30</v>
      </c>
      <c r="I6" t="s">
        <v>101</v>
      </c>
      <c r="J6" s="1">
        <v>113.37408000000002</v>
      </c>
      <c r="K6" s="10">
        <v>3.7791360000000007</v>
      </c>
      <c r="L6" s="1">
        <v>1</v>
      </c>
      <c r="M6" s="1">
        <v>0</v>
      </c>
      <c r="N6" s="1">
        <v>0</v>
      </c>
      <c r="O6" s="1">
        <v>1</v>
      </c>
      <c r="P6" s="1">
        <v>1</v>
      </c>
      <c r="Q6" s="1">
        <v>4</v>
      </c>
      <c r="R6" s="1">
        <v>16.206750000000003</v>
      </c>
      <c r="S6" s="1">
        <v>0</v>
      </c>
      <c r="T6" s="1">
        <v>0</v>
      </c>
      <c r="U6" s="1">
        <v>11.576250000000002</v>
      </c>
      <c r="V6" s="1">
        <v>1</v>
      </c>
      <c r="W6" s="1">
        <v>1637.6256000000003</v>
      </c>
      <c r="X6" s="1">
        <v>1219.45</v>
      </c>
      <c r="Y6" s="1">
        <v>0</v>
      </c>
      <c r="Z6" s="1">
        <v>0</v>
      </c>
      <c r="AA6" s="1">
        <v>914.58749999999998</v>
      </c>
      <c r="AB6" s="1">
        <v>0</v>
      </c>
      <c r="AC6" s="1">
        <v>23727.600000000002</v>
      </c>
      <c r="AD6" s="1">
        <v>25.194240000000004</v>
      </c>
      <c r="AE6" s="1">
        <v>1</v>
      </c>
      <c r="AF6" s="1">
        <v>28.940625000000001</v>
      </c>
      <c r="AG6" s="1" t="s">
        <v>55</v>
      </c>
      <c r="AH6" s="1">
        <v>1</v>
      </c>
    </row>
    <row r="7" spans="1:38" x14ac:dyDescent="0.25">
      <c r="A7" t="s">
        <v>87</v>
      </c>
      <c r="B7">
        <v>11</v>
      </c>
      <c r="C7">
        <v>5</v>
      </c>
      <c r="D7" t="s">
        <v>29</v>
      </c>
      <c r="E7" t="s">
        <v>59</v>
      </c>
      <c r="F7" t="s">
        <v>60</v>
      </c>
      <c r="G7" t="s">
        <v>34</v>
      </c>
      <c r="H7" t="s">
        <v>30</v>
      </c>
      <c r="I7" t="s">
        <v>101</v>
      </c>
      <c r="J7" s="1">
        <v>122.44400640000003</v>
      </c>
      <c r="K7" s="10">
        <v>4.0814668800000007</v>
      </c>
      <c r="L7" s="1">
        <v>1</v>
      </c>
      <c r="M7" s="1">
        <v>0</v>
      </c>
      <c r="N7" s="1">
        <v>0</v>
      </c>
      <c r="O7" s="1">
        <v>1</v>
      </c>
      <c r="P7" s="1">
        <v>1</v>
      </c>
      <c r="Q7" s="1">
        <v>5</v>
      </c>
      <c r="R7" s="1">
        <v>17.017087500000002</v>
      </c>
      <c r="S7" s="1">
        <v>0</v>
      </c>
      <c r="T7" s="1">
        <v>0</v>
      </c>
      <c r="U7" s="1">
        <v>12.155062500000001</v>
      </c>
      <c r="V7" s="1">
        <v>1</v>
      </c>
      <c r="W7" s="1">
        <v>1768.6356480000004</v>
      </c>
      <c r="X7" s="1">
        <v>1768.2025000000001</v>
      </c>
      <c r="Y7" s="1">
        <v>0</v>
      </c>
      <c r="Z7" s="1">
        <v>0</v>
      </c>
      <c r="AA7" s="1">
        <v>1326.151875</v>
      </c>
      <c r="AB7" s="1">
        <v>0</v>
      </c>
      <c r="AC7" s="1">
        <v>30845.880000000005</v>
      </c>
      <c r="AD7" s="1">
        <v>27.209779200000007</v>
      </c>
      <c r="AE7" s="1">
        <v>1</v>
      </c>
      <c r="AF7" s="1">
        <v>30.387656250000003</v>
      </c>
      <c r="AG7" s="1" t="s">
        <v>55</v>
      </c>
      <c r="AH7" s="1">
        <v>1</v>
      </c>
    </row>
    <row r="8" spans="1:38" x14ac:dyDescent="0.25">
      <c r="A8" t="s">
        <v>87</v>
      </c>
      <c r="B8">
        <v>11</v>
      </c>
      <c r="C8">
        <v>6</v>
      </c>
      <c r="D8" t="s">
        <v>29</v>
      </c>
      <c r="E8" t="s">
        <v>59</v>
      </c>
      <c r="F8" t="s">
        <v>60</v>
      </c>
      <c r="G8" t="s">
        <v>34</v>
      </c>
      <c r="H8" t="s">
        <v>30</v>
      </c>
      <c r="I8" t="s">
        <v>101</v>
      </c>
      <c r="J8" s="1">
        <v>132.23952691200006</v>
      </c>
      <c r="K8" s="10">
        <v>4.4079842304000012</v>
      </c>
      <c r="L8" s="1">
        <v>1</v>
      </c>
      <c r="M8" s="1">
        <v>0</v>
      </c>
      <c r="N8" s="1">
        <v>0</v>
      </c>
      <c r="O8" s="1">
        <v>1</v>
      </c>
      <c r="P8" s="1">
        <v>1</v>
      </c>
      <c r="Q8" s="1">
        <v>5</v>
      </c>
      <c r="R8" s="1">
        <v>17.867941875000003</v>
      </c>
      <c r="S8" s="1">
        <v>0</v>
      </c>
      <c r="T8" s="1">
        <v>0</v>
      </c>
      <c r="U8" s="1">
        <v>12.762815625000002</v>
      </c>
      <c r="V8" s="1">
        <v>1</v>
      </c>
      <c r="W8" s="1">
        <v>1910.1264998400006</v>
      </c>
      <c r="X8" s="1">
        <v>2563.8936250000002</v>
      </c>
      <c r="Y8" s="1">
        <v>0</v>
      </c>
      <c r="Z8" s="1">
        <v>0</v>
      </c>
      <c r="AA8" s="1">
        <v>1922.92021875</v>
      </c>
      <c r="AB8" s="1">
        <v>0</v>
      </c>
      <c r="AC8" s="1">
        <v>40099.644000000008</v>
      </c>
      <c r="AD8" s="1">
        <v>29.386561536000009</v>
      </c>
      <c r="AE8" s="1">
        <v>1</v>
      </c>
      <c r="AF8" s="1">
        <v>31.907039062500004</v>
      </c>
      <c r="AG8" s="1" t="s">
        <v>55</v>
      </c>
      <c r="AH8" s="1">
        <v>1</v>
      </c>
    </row>
    <row r="9" spans="1:38" x14ac:dyDescent="0.25">
      <c r="A9" t="s">
        <v>87</v>
      </c>
      <c r="B9">
        <v>11</v>
      </c>
      <c r="C9">
        <v>7</v>
      </c>
      <c r="D9" t="s">
        <v>29</v>
      </c>
      <c r="E9" t="s">
        <v>59</v>
      </c>
      <c r="F9" t="s">
        <v>60</v>
      </c>
      <c r="G9" t="s">
        <v>34</v>
      </c>
      <c r="H9" t="s">
        <v>30</v>
      </c>
      <c r="I9" t="s">
        <v>101</v>
      </c>
      <c r="J9" s="1">
        <v>142.81868906496007</v>
      </c>
      <c r="K9" s="10">
        <v>4.7606229688320019</v>
      </c>
      <c r="L9" s="1">
        <v>1</v>
      </c>
      <c r="M9" s="1">
        <v>0</v>
      </c>
      <c r="N9" s="1">
        <v>0</v>
      </c>
      <c r="O9" s="1">
        <v>1</v>
      </c>
      <c r="P9" s="1">
        <v>1</v>
      </c>
      <c r="Q9" s="1">
        <v>6</v>
      </c>
      <c r="R9" s="1">
        <v>18.761338968750003</v>
      </c>
      <c r="S9" s="1">
        <v>0</v>
      </c>
      <c r="T9" s="1">
        <v>0</v>
      </c>
      <c r="U9" s="1">
        <v>13.400956406250003</v>
      </c>
      <c r="V9" s="1">
        <v>1</v>
      </c>
      <c r="W9" s="1">
        <v>2062.936619827201</v>
      </c>
      <c r="X9" s="1">
        <v>3717.64575625</v>
      </c>
      <c r="Y9" s="1">
        <v>0</v>
      </c>
      <c r="Z9" s="1">
        <v>0</v>
      </c>
      <c r="AA9" s="1">
        <v>2788.2343171875</v>
      </c>
      <c r="AB9" s="1">
        <v>0</v>
      </c>
      <c r="AC9" s="1">
        <v>52129.537200000013</v>
      </c>
      <c r="AD9" s="1">
        <v>31.737486458880014</v>
      </c>
      <c r="AE9" s="1">
        <v>1</v>
      </c>
      <c r="AF9" s="1">
        <v>33.502391015625008</v>
      </c>
      <c r="AG9" s="1" t="s">
        <v>55</v>
      </c>
      <c r="AH9" s="1">
        <v>1</v>
      </c>
    </row>
    <row r="10" spans="1:38" x14ac:dyDescent="0.25">
      <c r="A10" t="s">
        <v>87</v>
      </c>
      <c r="B10">
        <v>11</v>
      </c>
      <c r="C10">
        <v>8</v>
      </c>
      <c r="D10" t="s">
        <v>29</v>
      </c>
      <c r="E10" t="s">
        <v>59</v>
      </c>
      <c r="F10" t="s">
        <v>60</v>
      </c>
      <c r="G10" t="s">
        <v>34</v>
      </c>
      <c r="H10" t="s">
        <v>30</v>
      </c>
      <c r="I10" t="s">
        <v>101</v>
      </c>
      <c r="J10" s="1">
        <v>154.24418419015689</v>
      </c>
      <c r="K10" s="10">
        <v>5.1414728063385624</v>
      </c>
      <c r="L10" s="1">
        <v>1</v>
      </c>
      <c r="M10" s="1">
        <v>0</v>
      </c>
      <c r="N10" s="1">
        <v>0</v>
      </c>
      <c r="O10" s="1">
        <v>1</v>
      </c>
      <c r="P10" s="1">
        <v>1</v>
      </c>
      <c r="Q10" s="1">
        <v>6</v>
      </c>
      <c r="R10" s="1">
        <v>19.699405917187505</v>
      </c>
      <c r="S10" s="1">
        <v>0</v>
      </c>
      <c r="T10" s="1">
        <v>0</v>
      </c>
      <c r="U10" s="1">
        <v>14.071004226562504</v>
      </c>
      <c r="V10" s="1">
        <v>1</v>
      </c>
      <c r="W10" s="1">
        <v>2227.971549413377</v>
      </c>
      <c r="X10" s="1">
        <v>5390.5863465624998</v>
      </c>
      <c r="Y10" s="1">
        <v>0</v>
      </c>
      <c r="Z10" s="1">
        <v>0</v>
      </c>
      <c r="AA10" s="1">
        <v>4042.9397599218751</v>
      </c>
      <c r="AB10" s="1">
        <v>0</v>
      </c>
      <c r="AC10" s="1">
        <v>67768.398360000021</v>
      </c>
      <c r="AD10" s="1">
        <v>34.276485375590418</v>
      </c>
      <c r="AE10" s="1">
        <v>1</v>
      </c>
      <c r="AF10" s="1">
        <v>35.177510566406262</v>
      </c>
      <c r="AG10" s="1" t="s">
        <v>55</v>
      </c>
      <c r="AH10" s="1">
        <v>1</v>
      </c>
    </row>
    <row r="11" spans="1:38" x14ac:dyDescent="0.25">
      <c r="A11" t="s">
        <v>87</v>
      </c>
      <c r="B11">
        <v>11</v>
      </c>
      <c r="C11">
        <v>9</v>
      </c>
      <c r="D11" t="s">
        <v>29</v>
      </c>
      <c r="E11" t="s">
        <v>59</v>
      </c>
      <c r="F11" t="s">
        <v>60</v>
      </c>
      <c r="G11" t="s">
        <v>34</v>
      </c>
      <c r="H11" t="s">
        <v>30</v>
      </c>
      <c r="I11" t="s">
        <v>101</v>
      </c>
      <c r="J11" s="1">
        <v>166.58371892536945</v>
      </c>
      <c r="K11" s="10">
        <v>5.5527906308456476</v>
      </c>
      <c r="L11" s="1">
        <v>1</v>
      </c>
      <c r="M11" s="1">
        <v>0</v>
      </c>
      <c r="N11" s="1">
        <v>0</v>
      </c>
      <c r="O11" s="1">
        <v>1</v>
      </c>
      <c r="P11" s="1">
        <v>1</v>
      </c>
      <c r="Q11" s="1">
        <v>7</v>
      </c>
      <c r="R11" s="1">
        <v>20.684376213046882</v>
      </c>
      <c r="S11" s="1">
        <v>0</v>
      </c>
      <c r="T11" s="1">
        <v>0</v>
      </c>
      <c r="U11" s="1">
        <v>14.774554437890631</v>
      </c>
      <c r="V11" s="1">
        <v>1</v>
      </c>
      <c r="W11" s="1">
        <v>2406.2092733664472</v>
      </c>
      <c r="X11" s="1">
        <v>7816.350202515624</v>
      </c>
      <c r="Y11" s="1">
        <v>0</v>
      </c>
      <c r="Z11" s="1">
        <v>0</v>
      </c>
      <c r="AA11" s="1">
        <v>5862.2626518867182</v>
      </c>
      <c r="AB11" s="1">
        <v>0</v>
      </c>
      <c r="AC11" s="1">
        <v>88098.917868000033</v>
      </c>
      <c r="AD11" s="1">
        <v>37.018604205637658</v>
      </c>
      <c r="AE11" s="1">
        <v>1</v>
      </c>
      <c r="AF11" s="1">
        <v>36.936386094726579</v>
      </c>
      <c r="AG11" s="1" t="s">
        <v>55</v>
      </c>
      <c r="AH11" s="1">
        <v>1</v>
      </c>
    </row>
    <row r="12" spans="1:38" x14ac:dyDescent="0.25">
      <c r="A12" t="s">
        <v>87</v>
      </c>
      <c r="B12">
        <v>11</v>
      </c>
      <c r="C12">
        <v>10</v>
      </c>
      <c r="D12" t="s">
        <v>29</v>
      </c>
      <c r="E12" t="s">
        <v>59</v>
      </c>
      <c r="F12" t="s">
        <v>60</v>
      </c>
      <c r="G12" t="s">
        <v>34</v>
      </c>
      <c r="H12" t="s">
        <v>30</v>
      </c>
      <c r="I12" t="s">
        <v>101</v>
      </c>
      <c r="J12" s="1">
        <v>179.91041643939903</v>
      </c>
      <c r="K12" s="10">
        <v>5.9970138813132996</v>
      </c>
      <c r="L12" s="1">
        <v>1</v>
      </c>
      <c r="M12" s="1">
        <v>0</v>
      </c>
      <c r="N12" s="1">
        <v>0</v>
      </c>
      <c r="O12" s="1">
        <v>1</v>
      </c>
      <c r="P12" s="1">
        <v>1</v>
      </c>
      <c r="Q12" s="1">
        <v>8</v>
      </c>
      <c r="R12" s="1">
        <v>21.718595023699226</v>
      </c>
      <c r="S12" s="1">
        <v>0</v>
      </c>
      <c r="T12" s="1">
        <v>0</v>
      </c>
      <c r="U12" s="1">
        <v>15.513282159785163</v>
      </c>
      <c r="V12" s="1">
        <v>1</v>
      </c>
      <c r="W12" s="1">
        <v>2598.7060152357631</v>
      </c>
      <c r="X12" s="1">
        <v>11333.707793647654</v>
      </c>
      <c r="Y12" s="1">
        <v>0</v>
      </c>
      <c r="Z12" s="1">
        <v>0</v>
      </c>
      <c r="AA12" s="1">
        <v>8500.2808452357403</v>
      </c>
      <c r="AB12" s="1">
        <v>0</v>
      </c>
      <c r="AC12" s="1">
        <v>114528.59322840004</v>
      </c>
      <c r="AD12" s="1">
        <v>39.98009254208867</v>
      </c>
      <c r="AE12" s="1">
        <v>1</v>
      </c>
      <c r="AF12" s="1">
        <v>38.783205399462908</v>
      </c>
      <c r="AG12" s="1" t="s">
        <v>55</v>
      </c>
      <c r="AH12" s="1">
        <v>1</v>
      </c>
    </row>
    <row r="14" spans="1:38" x14ac:dyDescent="0.25">
      <c r="A14" t="s">
        <v>88</v>
      </c>
      <c r="B14">
        <v>12</v>
      </c>
      <c r="C14">
        <v>1</v>
      </c>
      <c r="D14" t="s">
        <v>37</v>
      </c>
      <c r="E14" t="s">
        <v>59</v>
      </c>
      <c r="F14" t="s">
        <v>60</v>
      </c>
      <c r="G14" t="s">
        <v>34</v>
      </c>
      <c r="H14" t="s">
        <v>30</v>
      </c>
      <c r="I14" t="s">
        <v>102</v>
      </c>
      <c r="J14" s="1">
        <v>70</v>
      </c>
      <c r="K14" s="10">
        <v>2</v>
      </c>
      <c r="L14" s="1">
        <v>3</v>
      </c>
      <c r="M14" s="1">
        <v>0</v>
      </c>
      <c r="N14" s="1">
        <v>0</v>
      </c>
      <c r="O14" s="1">
        <v>2</v>
      </c>
      <c r="P14" s="1">
        <v>1</v>
      </c>
      <c r="Q14" s="1">
        <v>6</v>
      </c>
      <c r="R14" s="1">
        <v>12</v>
      </c>
      <c r="S14" s="1">
        <v>0</v>
      </c>
      <c r="T14" s="1">
        <v>0</v>
      </c>
      <c r="U14" s="1">
        <v>16</v>
      </c>
      <c r="V14" s="1">
        <v>1</v>
      </c>
      <c r="W14" s="1">
        <v>1450</v>
      </c>
      <c r="X14" s="1">
        <v>300</v>
      </c>
      <c r="Y14" s="1">
        <v>0</v>
      </c>
      <c r="Z14" s="1">
        <v>0</v>
      </c>
      <c r="AA14" s="1">
        <v>500</v>
      </c>
      <c r="AB14" s="1">
        <v>0</v>
      </c>
      <c r="AC14" s="1">
        <v>10800</v>
      </c>
      <c r="AD14" s="1">
        <v>20</v>
      </c>
      <c r="AE14" s="1">
        <v>1</v>
      </c>
      <c r="AF14" s="1">
        <v>5</v>
      </c>
      <c r="AG14" s="1" t="s">
        <v>55</v>
      </c>
      <c r="AH14" s="1">
        <v>1</v>
      </c>
    </row>
    <row r="15" spans="1:38" ht="14.25" customHeight="1" x14ac:dyDescent="0.25">
      <c r="A15" t="s">
        <v>88</v>
      </c>
      <c r="B15">
        <v>12</v>
      </c>
      <c r="C15">
        <v>2</v>
      </c>
      <c r="D15" t="s">
        <v>37</v>
      </c>
      <c r="E15" t="s">
        <v>59</v>
      </c>
      <c r="F15" t="s">
        <v>60</v>
      </c>
      <c r="G15" t="s">
        <v>34</v>
      </c>
      <c r="H15" t="s">
        <v>30</v>
      </c>
      <c r="I15" t="s">
        <v>102</v>
      </c>
      <c r="J15" s="1">
        <v>75.600000000000009</v>
      </c>
      <c r="K15" s="10">
        <v>2.16</v>
      </c>
      <c r="L15" s="1">
        <v>3</v>
      </c>
      <c r="M15" s="1">
        <v>0</v>
      </c>
      <c r="N15" s="1">
        <v>0</v>
      </c>
      <c r="O15" s="1">
        <v>2</v>
      </c>
      <c r="P15" s="1">
        <v>1</v>
      </c>
      <c r="Q15" s="1">
        <v>6</v>
      </c>
      <c r="R15" s="1">
        <v>12.600000000000001</v>
      </c>
      <c r="S15" s="1">
        <v>0</v>
      </c>
      <c r="T15" s="1">
        <v>0</v>
      </c>
      <c r="U15" s="1">
        <v>16.8</v>
      </c>
      <c r="V15" s="1">
        <v>1</v>
      </c>
      <c r="W15" s="1">
        <v>1566</v>
      </c>
      <c r="X15" s="1">
        <v>435</v>
      </c>
      <c r="Y15" s="1">
        <v>0</v>
      </c>
      <c r="Z15" s="1">
        <v>0</v>
      </c>
      <c r="AA15" s="1">
        <v>725</v>
      </c>
      <c r="AB15" s="1">
        <v>0</v>
      </c>
      <c r="AC15" s="1">
        <v>14040</v>
      </c>
      <c r="AD15" s="1">
        <v>21.6</v>
      </c>
      <c r="AE15" s="1">
        <v>1</v>
      </c>
      <c r="AF15" s="1">
        <v>5.25</v>
      </c>
      <c r="AG15" s="1" t="s">
        <v>55</v>
      </c>
      <c r="AH15" s="1">
        <v>1</v>
      </c>
    </row>
    <row r="16" spans="1:38" x14ac:dyDescent="0.25">
      <c r="A16" t="s">
        <v>88</v>
      </c>
      <c r="B16">
        <v>12</v>
      </c>
      <c r="C16">
        <v>3</v>
      </c>
      <c r="D16" t="s">
        <v>37</v>
      </c>
      <c r="E16" t="s">
        <v>59</v>
      </c>
      <c r="F16" t="s">
        <v>60</v>
      </c>
      <c r="G16" t="s">
        <v>34</v>
      </c>
      <c r="H16" t="s">
        <v>30</v>
      </c>
      <c r="I16" t="s">
        <v>102</v>
      </c>
      <c r="J16" s="1">
        <v>81.64800000000001</v>
      </c>
      <c r="K16" s="10">
        <v>2.3328000000000002</v>
      </c>
      <c r="L16" s="1">
        <v>3</v>
      </c>
      <c r="M16" s="1">
        <v>0</v>
      </c>
      <c r="N16" s="1">
        <v>0</v>
      </c>
      <c r="O16" s="1">
        <v>2</v>
      </c>
      <c r="P16" s="1">
        <v>1</v>
      </c>
      <c r="Q16" s="1">
        <v>7</v>
      </c>
      <c r="R16" s="1">
        <v>13.230000000000002</v>
      </c>
      <c r="S16" s="1">
        <v>0</v>
      </c>
      <c r="T16" s="1">
        <v>0</v>
      </c>
      <c r="U16" s="1">
        <v>17.64</v>
      </c>
      <c r="V16" s="1">
        <v>1</v>
      </c>
      <c r="W16" s="1">
        <v>1691.2800000000002</v>
      </c>
      <c r="X16" s="1">
        <v>630.75</v>
      </c>
      <c r="Y16" s="1">
        <v>0</v>
      </c>
      <c r="Z16" s="1">
        <v>0</v>
      </c>
      <c r="AA16" s="1">
        <v>1051.25</v>
      </c>
      <c r="AB16" s="1">
        <v>0</v>
      </c>
      <c r="AC16" s="1">
        <v>18252</v>
      </c>
      <c r="AD16" s="1">
        <v>23.328000000000003</v>
      </c>
      <c r="AE16" s="1">
        <v>1</v>
      </c>
      <c r="AF16" s="1">
        <v>5.5125000000000002</v>
      </c>
      <c r="AG16" s="1" t="s">
        <v>55</v>
      </c>
      <c r="AH16" s="1">
        <v>1</v>
      </c>
    </row>
    <row r="17" spans="1:34" x14ac:dyDescent="0.25">
      <c r="A17" t="s">
        <v>88</v>
      </c>
      <c r="B17">
        <v>12</v>
      </c>
      <c r="C17">
        <v>4</v>
      </c>
      <c r="D17" t="s">
        <v>37</v>
      </c>
      <c r="E17" t="s">
        <v>59</v>
      </c>
      <c r="F17" t="s">
        <v>60</v>
      </c>
      <c r="G17" t="s">
        <v>34</v>
      </c>
      <c r="H17" t="s">
        <v>30</v>
      </c>
      <c r="I17" t="s">
        <v>102</v>
      </c>
      <c r="J17" s="1">
        <v>88.179840000000013</v>
      </c>
      <c r="K17" s="10">
        <v>2.5194240000000003</v>
      </c>
      <c r="L17" s="1">
        <v>3</v>
      </c>
      <c r="M17" s="1">
        <v>0</v>
      </c>
      <c r="N17" s="1">
        <v>0</v>
      </c>
      <c r="O17" s="1">
        <v>2</v>
      </c>
      <c r="P17" s="1">
        <v>1</v>
      </c>
      <c r="Q17" s="1">
        <v>7</v>
      </c>
      <c r="R17" s="1">
        <v>13.891500000000002</v>
      </c>
      <c r="S17" s="1">
        <v>0</v>
      </c>
      <c r="T17" s="1">
        <v>0</v>
      </c>
      <c r="U17" s="1">
        <v>18.522000000000002</v>
      </c>
      <c r="V17" s="1">
        <v>1</v>
      </c>
      <c r="W17" s="1">
        <v>1826.5824000000002</v>
      </c>
      <c r="X17" s="1">
        <v>914.58749999999998</v>
      </c>
      <c r="Y17" s="1">
        <v>0</v>
      </c>
      <c r="Z17" s="1">
        <v>0</v>
      </c>
      <c r="AA17" s="1">
        <v>1524.3125</v>
      </c>
      <c r="AB17" s="1">
        <v>0</v>
      </c>
      <c r="AC17" s="1">
        <v>23727.600000000002</v>
      </c>
      <c r="AD17" s="1">
        <v>25.194240000000004</v>
      </c>
      <c r="AE17" s="1">
        <v>1</v>
      </c>
      <c r="AF17" s="1">
        <v>5.7881250000000009</v>
      </c>
      <c r="AG17" s="1" t="s">
        <v>55</v>
      </c>
      <c r="AH17" s="1">
        <v>1</v>
      </c>
    </row>
    <row r="18" spans="1:34" x14ac:dyDescent="0.25">
      <c r="A18" t="s">
        <v>88</v>
      </c>
      <c r="B18">
        <v>12</v>
      </c>
      <c r="C18">
        <v>5</v>
      </c>
      <c r="D18" t="s">
        <v>37</v>
      </c>
      <c r="E18" t="s">
        <v>59</v>
      </c>
      <c r="F18" t="s">
        <v>60</v>
      </c>
      <c r="G18" t="s">
        <v>34</v>
      </c>
      <c r="H18" t="s">
        <v>30</v>
      </c>
      <c r="I18" t="s">
        <v>102</v>
      </c>
      <c r="J18" s="1">
        <v>95.234227200000021</v>
      </c>
      <c r="K18" s="10">
        <v>2.7209779200000006</v>
      </c>
      <c r="L18" s="1">
        <v>3</v>
      </c>
      <c r="M18" s="1">
        <v>0</v>
      </c>
      <c r="N18" s="1">
        <v>0</v>
      </c>
      <c r="O18" s="1">
        <v>2</v>
      </c>
      <c r="P18" s="1">
        <v>1</v>
      </c>
      <c r="Q18" s="1">
        <v>8</v>
      </c>
      <c r="R18" s="1">
        <v>14.586075000000003</v>
      </c>
      <c r="S18" s="1">
        <v>0</v>
      </c>
      <c r="T18" s="1">
        <v>0</v>
      </c>
      <c r="U18" s="1">
        <v>19.448100000000004</v>
      </c>
      <c r="V18" s="1">
        <v>1</v>
      </c>
      <c r="W18" s="1">
        <v>1972.7089920000003</v>
      </c>
      <c r="X18" s="1">
        <v>1326.151875</v>
      </c>
      <c r="Y18" s="1">
        <v>0</v>
      </c>
      <c r="Z18" s="1">
        <v>0</v>
      </c>
      <c r="AA18" s="1">
        <v>2210.2531249999997</v>
      </c>
      <c r="AB18" s="1">
        <v>0</v>
      </c>
      <c r="AC18" s="1">
        <v>30845.880000000005</v>
      </c>
      <c r="AD18" s="1">
        <v>27.209779200000007</v>
      </c>
      <c r="AE18" s="1">
        <v>1</v>
      </c>
      <c r="AF18" s="1">
        <v>6.0775312500000007</v>
      </c>
      <c r="AG18" s="1" t="s">
        <v>55</v>
      </c>
      <c r="AH18" s="1">
        <v>1</v>
      </c>
    </row>
    <row r="19" spans="1:34" x14ac:dyDescent="0.25">
      <c r="A19" t="s">
        <v>88</v>
      </c>
      <c r="B19">
        <v>12</v>
      </c>
      <c r="C19">
        <v>6</v>
      </c>
      <c r="D19" t="s">
        <v>37</v>
      </c>
      <c r="E19" t="s">
        <v>59</v>
      </c>
      <c r="F19" t="s">
        <v>60</v>
      </c>
      <c r="G19" t="s">
        <v>34</v>
      </c>
      <c r="H19" t="s">
        <v>30</v>
      </c>
      <c r="I19" t="s">
        <v>102</v>
      </c>
      <c r="J19" s="1">
        <v>102.85296537600003</v>
      </c>
      <c r="K19" s="10">
        <v>2.9386561536000007</v>
      </c>
      <c r="L19" s="1">
        <v>3</v>
      </c>
      <c r="M19" s="1">
        <v>0</v>
      </c>
      <c r="N19" s="1">
        <v>0</v>
      </c>
      <c r="O19" s="1">
        <v>2</v>
      </c>
      <c r="P19" s="1">
        <v>1</v>
      </c>
      <c r="Q19" s="1">
        <v>8</v>
      </c>
      <c r="R19" s="1">
        <v>15.315378750000004</v>
      </c>
      <c r="S19" s="1">
        <v>0</v>
      </c>
      <c r="T19" s="1">
        <v>0</v>
      </c>
      <c r="U19" s="1">
        <v>20.420505000000006</v>
      </c>
      <c r="V19" s="1">
        <v>1</v>
      </c>
      <c r="W19" s="1">
        <v>2130.5257113600005</v>
      </c>
      <c r="X19" s="1">
        <v>1922.92021875</v>
      </c>
      <c r="Y19" s="1">
        <v>0</v>
      </c>
      <c r="Z19" s="1">
        <v>0</v>
      </c>
      <c r="AA19" s="1">
        <v>3204.8670312499994</v>
      </c>
      <c r="AB19" s="1">
        <v>0</v>
      </c>
      <c r="AC19" s="1">
        <v>40099.644000000008</v>
      </c>
      <c r="AD19" s="1">
        <v>29.386561536000009</v>
      </c>
      <c r="AE19" s="1">
        <v>1</v>
      </c>
      <c r="AF19" s="1">
        <v>6.3814078125000009</v>
      </c>
      <c r="AG19" s="1" t="s">
        <v>55</v>
      </c>
      <c r="AH19" s="1">
        <v>1</v>
      </c>
    </row>
    <row r="20" spans="1:34" x14ac:dyDescent="0.25">
      <c r="A20" t="s">
        <v>88</v>
      </c>
      <c r="B20">
        <v>12</v>
      </c>
      <c r="C20">
        <v>7</v>
      </c>
      <c r="D20" t="s">
        <v>37</v>
      </c>
      <c r="E20" t="s">
        <v>59</v>
      </c>
      <c r="F20" t="s">
        <v>60</v>
      </c>
      <c r="G20" t="s">
        <v>34</v>
      </c>
      <c r="H20" t="s">
        <v>30</v>
      </c>
      <c r="I20" t="s">
        <v>102</v>
      </c>
      <c r="J20" s="1">
        <v>111.08120260608004</v>
      </c>
      <c r="K20" s="10">
        <v>3.1737486458880011</v>
      </c>
      <c r="L20" s="1">
        <v>3</v>
      </c>
      <c r="M20" s="1">
        <v>0</v>
      </c>
      <c r="N20" s="1">
        <v>0</v>
      </c>
      <c r="O20" s="1">
        <v>2</v>
      </c>
      <c r="P20" s="1">
        <v>1</v>
      </c>
      <c r="Q20" s="1">
        <v>9</v>
      </c>
      <c r="R20" s="1">
        <v>16.081147687500007</v>
      </c>
      <c r="S20" s="1">
        <v>0</v>
      </c>
      <c r="T20" s="1">
        <v>0</v>
      </c>
      <c r="U20" s="1">
        <v>21.441530250000007</v>
      </c>
      <c r="V20" s="1">
        <v>1</v>
      </c>
      <c r="W20" s="1">
        <v>2300.9677682688007</v>
      </c>
      <c r="X20" s="1">
        <v>2788.2343171875</v>
      </c>
      <c r="Y20" s="1">
        <v>0</v>
      </c>
      <c r="Z20" s="1">
        <v>0</v>
      </c>
      <c r="AA20" s="1">
        <v>4647.0571953124991</v>
      </c>
      <c r="AB20" s="1">
        <v>0</v>
      </c>
      <c r="AC20" s="1">
        <v>52129.537200000013</v>
      </c>
      <c r="AD20" s="1">
        <v>31.737486458880014</v>
      </c>
      <c r="AE20" s="1">
        <v>1</v>
      </c>
      <c r="AF20" s="1">
        <v>6.7004782031250016</v>
      </c>
      <c r="AG20" s="1" t="s">
        <v>55</v>
      </c>
      <c r="AH20" s="1">
        <v>1</v>
      </c>
    </row>
    <row r="21" spans="1:34" x14ac:dyDescent="0.25">
      <c r="A21" t="s">
        <v>88</v>
      </c>
      <c r="B21">
        <v>12</v>
      </c>
      <c r="C21">
        <v>8</v>
      </c>
      <c r="D21" t="s">
        <v>37</v>
      </c>
      <c r="E21" t="s">
        <v>59</v>
      </c>
      <c r="F21" t="s">
        <v>60</v>
      </c>
      <c r="G21" t="s">
        <v>34</v>
      </c>
      <c r="H21" t="s">
        <v>30</v>
      </c>
      <c r="I21" t="s">
        <v>102</v>
      </c>
      <c r="J21" s="1">
        <v>119.96769881456645</v>
      </c>
      <c r="K21" s="10">
        <v>3.4276485375590413</v>
      </c>
      <c r="L21" s="1">
        <v>3</v>
      </c>
      <c r="M21" s="1">
        <v>0</v>
      </c>
      <c r="N21" s="1">
        <v>0</v>
      </c>
      <c r="O21" s="1">
        <v>2</v>
      </c>
      <c r="P21" s="1">
        <v>1</v>
      </c>
      <c r="Q21" s="1">
        <v>9</v>
      </c>
      <c r="R21" s="1">
        <v>16.885205071875006</v>
      </c>
      <c r="S21" s="1">
        <v>0</v>
      </c>
      <c r="T21" s="1">
        <v>0</v>
      </c>
      <c r="U21" s="1">
        <v>22.513606762500007</v>
      </c>
      <c r="V21" s="1">
        <v>1</v>
      </c>
      <c r="W21" s="1">
        <v>2485.0451897303051</v>
      </c>
      <c r="X21" s="1">
        <v>4042.9397599218751</v>
      </c>
      <c r="Y21" s="1">
        <v>0</v>
      </c>
      <c r="Z21" s="1">
        <v>0</v>
      </c>
      <c r="AA21" s="1">
        <v>6738.2329332031231</v>
      </c>
      <c r="AB21" s="1">
        <v>0</v>
      </c>
      <c r="AC21" s="1">
        <v>67768.398360000021</v>
      </c>
      <c r="AD21" s="1">
        <v>34.276485375590418</v>
      </c>
      <c r="AE21" s="1">
        <v>1</v>
      </c>
      <c r="AF21" s="1">
        <v>7.0355021132812521</v>
      </c>
      <c r="AG21" s="1" t="s">
        <v>55</v>
      </c>
      <c r="AH21" s="1">
        <v>1</v>
      </c>
    </row>
    <row r="22" spans="1:34" x14ac:dyDescent="0.25">
      <c r="A22" t="s">
        <v>88</v>
      </c>
      <c r="B22">
        <v>12</v>
      </c>
      <c r="C22">
        <v>9</v>
      </c>
      <c r="D22" t="s">
        <v>37</v>
      </c>
      <c r="E22" t="s">
        <v>59</v>
      </c>
      <c r="F22" t="s">
        <v>60</v>
      </c>
      <c r="G22" t="s">
        <v>34</v>
      </c>
      <c r="H22" t="s">
        <v>30</v>
      </c>
      <c r="I22" t="s">
        <v>102</v>
      </c>
      <c r="J22" s="1">
        <v>129.56511471973178</v>
      </c>
      <c r="K22" s="10">
        <v>3.7018604205637651</v>
      </c>
      <c r="L22" s="1">
        <v>3</v>
      </c>
      <c r="M22" s="1">
        <v>0</v>
      </c>
      <c r="N22" s="1">
        <v>0</v>
      </c>
      <c r="O22" s="1">
        <v>2</v>
      </c>
      <c r="P22" s="1">
        <v>1</v>
      </c>
      <c r="Q22" s="1">
        <v>10</v>
      </c>
      <c r="R22" s="1">
        <v>17.729465325468759</v>
      </c>
      <c r="S22" s="1">
        <v>0</v>
      </c>
      <c r="T22" s="1">
        <v>0</v>
      </c>
      <c r="U22" s="1">
        <v>23.639287100625008</v>
      </c>
      <c r="V22" s="1">
        <v>1</v>
      </c>
      <c r="W22" s="1">
        <v>2683.8488049087296</v>
      </c>
      <c r="X22" s="1">
        <v>5862.2626518867182</v>
      </c>
      <c r="Y22" s="1">
        <v>0</v>
      </c>
      <c r="Z22" s="1">
        <v>0</v>
      </c>
      <c r="AA22" s="1">
        <v>9770.437753144528</v>
      </c>
      <c r="AB22" s="1">
        <v>0</v>
      </c>
      <c r="AC22" s="1">
        <v>88098.917868000033</v>
      </c>
      <c r="AD22" s="1">
        <v>37.018604205637658</v>
      </c>
      <c r="AE22" s="1">
        <v>1</v>
      </c>
      <c r="AF22" s="1">
        <v>7.3872772189453153</v>
      </c>
      <c r="AG22" s="1" t="s">
        <v>55</v>
      </c>
      <c r="AH22" s="1">
        <v>1</v>
      </c>
    </row>
    <row r="23" spans="1:34" x14ac:dyDescent="0.25">
      <c r="A23" t="s">
        <v>88</v>
      </c>
      <c r="B23">
        <v>12</v>
      </c>
      <c r="C23">
        <v>10</v>
      </c>
      <c r="D23" t="s">
        <v>37</v>
      </c>
      <c r="E23" t="s">
        <v>59</v>
      </c>
      <c r="F23" t="s">
        <v>60</v>
      </c>
      <c r="G23" t="s">
        <v>34</v>
      </c>
      <c r="H23" t="s">
        <v>30</v>
      </c>
      <c r="I23" t="s">
        <v>102</v>
      </c>
      <c r="J23" s="1">
        <v>139.93032389731033</v>
      </c>
      <c r="K23" s="10">
        <v>3.9980092542088665</v>
      </c>
      <c r="L23" s="1">
        <v>3</v>
      </c>
      <c r="M23" s="1">
        <v>0</v>
      </c>
      <c r="N23" s="1">
        <v>0</v>
      </c>
      <c r="O23" s="1">
        <v>2</v>
      </c>
      <c r="P23" s="1">
        <v>1</v>
      </c>
      <c r="Q23" s="1">
        <v>11</v>
      </c>
      <c r="R23" s="1">
        <v>18.615938591742196</v>
      </c>
      <c r="S23" s="1">
        <v>0</v>
      </c>
      <c r="T23" s="1">
        <v>0</v>
      </c>
      <c r="U23" s="1">
        <v>24.82125145565626</v>
      </c>
      <c r="V23" s="1">
        <v>1</v>
      </c>
      <c r="W23" s="1">
        <v>2898.5567093014283</v>
      </c>
      <c r="X23" s="1">
        <v>8500.2808452357403</v>
      </c>
      <c r="Y23" s="1">
        <v>0</v>
      </c>
      <c r="Z23" s="1">
        <v>0</v>
      </c>
      <c r="AA23" s="1">
        <v>14167.134742059565</v>
      </c>
      <c r="AB23" s="1">
        <v>0</v>
      </c>
      <c r="AC23" s="1">
        <v>114528.59322840004</v>
      </c>
      <c r="AD23" s="1">
        <v>39.98009254208867</v>
      </c>
      <c r="AE23" s="1">
        <v>1</v>
      </c>
      <c r="AF23" s="1">
        <v>7.7566410798925816</v>
      </c>
      <c r="AG23" s="1" t="s">
        <v>55</v>
      </c>
      <c r="AH23" s="1">
        <v>1</v>
      </c>
    </row>
    <row r="25" spans="1:34" x14ac:dyDescent="0.25">
      <c r="A25" t="s">
        <v>58</v>
      </c>
      <c r="B25">
        <v>101</v>
      </c>
      <c r="C25">
        <v>1</v>
      </c>
      <c r="D25" t="s">
        <v>29</v>
      </c>
      <c r="E25" t="s">
        <v>59</v>
      </c>
      <c r="F25" t="s">
        <v>60</v>
      </c>
      <c r="G25" t="s">
        <v>34</v>
      </c>
      <c r="H25" t="s">
        <v>30</v>
      </c>
      <c r="I25" t="s">
        <v>35</v>
      </c>
      <c r="J25" s="1">
        <v>100</v>
      </c>
      <c r="K25" s="10">
        <v>4</v>
      </c>
      <c r="L25" s="1">
        <v>1</v>
      </c>
      <c r="M25" s="1">
        <v>0</v>
      </c>
      <c r="N25" s="1">
        <v>0</v>
      </c>
      <c r="O25" s="1">
        <v>1</v>
      </c>
      <c r="P25" s="1">
        <v>1</v>
      </c>
      <c r="Q25" s="1">
        <v>6</v>
      </c>
      <c r="R25" s="1">
        <v>80</v>
      </c>
      <c r="S25" s="1">
        <v>0</v>
      </c>
      <c r="T25" s="1">
        <v>0</v>
      </c>
      <c r="U25" s="1">
        <v>60</v>
      </c>
      <c r="V25" s="1">
        <v>0</v>
      </c>
      <c r="W25" s="1">
        <v>950</v>
      </c>
      <c r="X25" s="1">
        <v>400</v>
      </c>
      <c r="Y25" s="1">
        <v>0</v>
      </c>
      <c r="Z25" s="1">
        <v>0</v>
      </c>
      <c r="AA25" s="1">
        <v>300</v>
      </c>
      <c r="AB25" s="1">
        <v>0</v>
      </c>
      <c r="AC25" s="1">
        <v>14400</v>
      </c>
      <c r="AD25" s="1">
        <v>20</v>
      </c>
      <c r="AE25" s="1">
        <v>1</v>
      </c>
      <c r="AF25" s="1">
        <v>30</v>
      </c>
      <c r="AG25" s="1" t="s">
        <v>56</v>
      </c>
      <c r="AH25" s="1">
        <v>1</v>
      </c>
    </row>
    <row r="26" spans="1:34" x14ac:dyDescent="0.25">
      <c r="A26" t="s">
        <v>58</v>
      </c>
      <c r="B26">
        <v>101</v>
      </c>
      <c r="C26">
        <v>2</v>
      </c>
      <c r="D26" t="s">
        <v>29</v>
      </c>
      <c r="E26" t="s">
        <v>59</v>
      </c>
      <c r="F26" t="s">
        <v>60</v>
      </c>
      <c r="G26" t="s">
        <v>34</v>
      </c>
      <c r="H26" t="s">
        <v>30</v>
      </c>
      <c r="I26" t="s">
        <v>35</v>
      </c>
      <c r="J26" s="1">
        <v>105</v>
      </c>
      <c r="K26" s="10">
        <v>4.2</v>
      </c>
      <c r="L26" s="1">
        <v>1</v>
      </c>
      <c r="M26" s="1">
        <v>0</v>
      </c>
      <c r="N26" s="1">
        <v>0</v>
      </c>
      <c r="O26" s="1">
        <v>1</v>
      </c>
      <c r="P26" s="1">
        <v>1</v>
      </c>
      <c r="Q26" s="1">
        <v>6</v>
      </c>
      <c r="R26" s="1">
        <v>81.599999999999994</v>
      </c>
      <c r="S26" s="1">
        <v>0</v>
      </c>
      <c r="T26" s="1">
        <v>0</v>
      </c>
      <c r="U26" s="1">
        <v>61.2</v>
      </c>
      <c r="V26" s="1">
        <v>0</v>
      </c>
      <c r="W26" s="1">
        <v>1026</v>
      </c>
      <c r="X26" s="1">
        <v>560</v>
      </c>
      <c r="Y26" s="1">
        <v>0</v>
      </c>
      <c r="Z26" s="1">
        <v>0</v>
      </c>
      <c r="AA26" s="1">
        <v>420</v>
      </c>
      <c r="AB26" s="1">
        <v>0</v>
      </c>
      <c r="AC26" s="1">
        <v>18720</v>
      </c>
      <c r="AD26" s="1">
        <v>21.6</v>
      </c>
      <c r="AE26" s="1">
        <v>1</v>
      </c>
      <c r="AF26" s="1">
        <v>31.5</v>
      </c>
      <c r="AG26" s="1" t="s">
        <v>56</v>
      </c>
      <c r="AH26" s="1">
        <v>1</v>
      </c>
    </row>
    <row r="27" spans="1:34" x14ac:dyDescent="0.25">
      <c r="A27" t="s">
        <v>58</v>
      </c>
      <c r="B27">
        <v>101</v>
      </c>
      <c r="C27">
        <v>3</v>
      </c>
      <c r="D27" t="s">
        <v>29</v>
      </c>
      <c r="E27" t="s">
        <v>59</v>
      </c>
      <c r="F27" t="s">
        <v>60</v>
      </c>
      <c r="G27" t="s">
        <v>34</v>
      </c>
      <c r="H27" t="s">
        <v>30</v>
      </c>
      <c r="I27" t="s">
        <v>35</v>
      </c>
      <c r="J27" s="1">
        <v>110.25</v>
      </c>
      <c r="K27" s="10">
        <v>4.41</v>
      </c>
      <c r="L27" s="1">
        <v>1</v>
      </c>
      <c r="M27" s="1">
        <v>0</v>
      </c>
      <c r="N27" s="1">
        <v>0</v>
      </c>
      <c r="O27" s="1">
        <v>1</v>
      </c>
      <c r="P27" s="1">
        <v>1</v>
      </c>
      <c r="Q27" s="1">
        <v>7</v>
      </c>
      <c r="R27" s="1">
        <v>83.231999999999999</v>
      </c>
      <c r="S27" s="1">
        <v>0</v>
      </c>
      <c r="T27" s="1">
        <v>0</v>
      </c>
      <c r="U27" s="1">
        <v>62.424000000000007</v>
      </c>
      <c r="V27" s="1">
        <v>0</v>
      </c>
      <c r="W27" s="1">
        <v>1108.0800000000002</v>
      </c>
      <c r="X27" s="1">
        <v>784</v>
      </c>
      <c r="Y27" s="1">
        <v>0</v>
      </c>
      <c r="Z27" s="1">
        <v>0</v>
      </c>
      <c r="AA27" s="1">
        <v>588</v>
      </c>
      <c r="AB27" s="1">
        <v>0</v>
      </c>
      <c r="AC27" s="1">
        <v>24336</v>
      </c>
      <c r="AD27" s="1">
        <v>23.328000000000003</v>
      </c>
      <c r="AE27" s="1">
        <v>1</v>
      </c>
      <c r="AF27" s="1">
        <v>33.075000000000003</v>
      </c>
      <c r="AG27" s="1" t="s">
        <v>56</v>
      </c>
      <c r="AH27" s="1">
        <v>1</v>
      </c>
    </row>
    <row r="28" spans="1:34" x14ac:dyDescent="0.25">
      <c r="A28" t="s">
        <v>58</v>
      </c>
      <c r="B28">
        <v>101</v>
      </c>
      <c r="C28">
        <v>4</v>
      </c>
      <c r="D28" t="s">
        <v>29</v>
      </c>
      <c r="E28" t="s">
        <v>59</v>
      </c>
      <c r="F28" t="s">
        <v>60</v>
      </c>
      <c r="G28" t="s">
        <v>34</v>
      </c>
      <c r="H28" t="s">
        <v>30</v>
      </c>
      <c r="I28" t="s">
        <v>35</v>
      </c>
      <c r="J28" s="1">
        <v>115.7625</v>
      </c>
      <c r="K28" s="10">
        <v>4.6305000000000005</v>
      </c>
      <c r="L28" s="1">
        <v>1</v>
      </c>
      <c r="M28" s="1">
        <v>0</v>
      </c>
      <c r="N28" s="1">
        <v>0</v>
      </c>
      <c r="O28" s="1">
        <v>1</v>
      </c>
      <c r="P28" s="1">
        <v>1</v>
      </c>
      <c r="Q28" s="1">
        <v>7</v>
      </c>
      <c r="R28" s="1">
        <v>84.896640000000005</v>
      </c>
      <c r="S28" s="1">
        <v>0</v>
      </c>
      <c r="T28" s="1">
        <v>0</v>
      </c>
      <c r="U28" s="1">
        <v>63.672480000000007</v>
      </c>
      <c r="V28" s="1">
        <v>0</v>
      </c>
      <c r="W28" s="1">
        <v>1196.7264000000002</v>
      </c>
      <c r="X28" s="1">
        <v>1097.5999999999999</v>
      </c>
      <c r="Y28" s="1">
        <v>0</v>
      </c>
      <c r="Z28" s="1">
        <v>0</v>
      </c>
      <c r="AA28" s="1">
        <v>823.19999999999993</v>
      </c>
      <c r="AB28" s="1">
        <v>0</v>
      </c>
      <c r="AC28" s="1">
        <v>31636.799999999999</v>
      </c>
      <c r="AD28" s="1">
        <v>25.194240000000004</v>
      </c>
      <c r="AE28" s="1">
        <v>1</v>
      </c>
      <c r="AF28" s="1">
        <v>34.728750000000005</v>
      </c>
      <c r="AG28" s="1" t="s">
        <v>56</v>
      </c>
      <c r="AH28" s="1">
        <v>1</v>
      </c>
    </row>
    <row r="29" spans="1:34" x14ac:dyDescent="0.25">
      <c r="A29" t="s">
        <v>58</v>
      </c>
      <c r="B29">
        <v>101</v>
      </c>
      <c r="C29">
        <v>5</v>
      </c>
      <c r="D29" t="s">
        <v>29</v>
      </c>
      <c r="E29" t="s">
        <v>59</v>
      </c>
      <c r="F29" t="s">
        <v>60</v>
      </c>
      <c r="G29" t="s">
        <v>34</v>
      </c>
      <c r="H29" t="s">
        <v>30</v>
      </c>
      <c r="I29" t="s">
        <v>35</v>
      </c>
      <c r="J29" s="1">
        <v>121.55062500000001</v>
      </c>
      <c r="K29" s="10">
        <v>4.8620250000000009</v>
      </c>
      <c r="L29" s="1">
        <v>1</v>
      </c>
      <c r="M29" s="1">
        <v>0</v>
      </c>
      <c r="N29" s="1">
        <v>0</v>
      </c>
      <c r="O29" s="1">
        <v>1</v>
      </c>
      <c r="P29" s="1">
        <v>1</v>
      </c>
      <c r="Q29" s="1">
        <v>8</v>
      </c>
      <c r="R29" s="1">
        <v>86.594572800000009</v>
      </c>
      <c r="S29" s="1">
        <v>0</v>
      </c>
      <c r="T29" s="1">
        <v>0</v>
      </c>
      <c r="U29" s="1">
        <v>64.945929600000014</v>
      </c>
      <c r="V29" s="1">
        <v>0</v>
      </c>
      <c r="W29" s="1">
        <v>1292.4645120000002</v>
      </c>
      <c r="X29" s="1">
        <v>1536.6399999999999</v>
      </c>
      <c r="Y29" s="1">
        <v>0</v>
      </c>
      <c r="Z29" s="1">
        <v>0</v>
      </c>
      <c r="AA29" s="1">
        <v>1152.4799999999998</v>
      </c>
      <c r="AB29" s="1">
        <v>0</v>
      </c>
      <c r="AC29" s="1">
        <v>41127.840000000004</v>
      </c>
      <c r="AD29" s="1">
        <v>27.209779200000007</v>
      </c>
      <c r="AE29" s="1">
        <v>1</v>
      </c>
      <c r="AF29" s="1">
        <v>36.465187500000006</v>
      </c>
      <c r="AG29" s="1" t="s">
        <v>56</v>
      </c>
      <c r="AH29" s="1">
        <v>1</v>
      </c>
    </row>
    <row r="30" spans="1:34" x14ac:dyDescent="0.25">
      <c r="A30" t="s">
        <v>58</v>
      </c>
      <c r="B30">
        <v>101</v>
      </c>
      <c r="C30">
        <v>6</v>
      </c>
      <c r="D30" t="s">
        <v>29</v>
      </c>
      <c r="E30" t="s">
        <v>59</v>
      </c>
      <c r="F30" t="s">
        <v>60</v>
      </c>
      <c r="G30" t="s">
        <v>34</v>
      </c>
      <c r="H30" t="s">
        <v>30</v>
      </c>
      <c r="I30" t="s">
        <v>35</v>
      </c>
      <c r="J30" s="1">
        <v>127.62815625000002</v>
      </c>
      <c r="K30" s="10">
        <v>5.1051262500000014</v>
      </c>
      <c r="L30" s="1">
        <v>1</v>
      </c>
      <c r="M30" s="1">
        <v>0</v>
      </c>
      <c r="N30" s="1">
        <v>0</v>
      </c>
      <c r="O30" s="1">
        <v>1</v>
      </c>
      <c r="P30" s="1">
        <v>1</v>
      </c>
      <c r="Q30" s="1">
        <v>8</v>
      </c>
      <c r="R30" s="1">
        <v>88.326464256000008</v>
      </c>
      <c r="S30" s="1">
        <v>0</v>
      </c>
      <c r="T30" s="1">
        <v>0</v>
      </c>
      <c r="U30" s="1">
        <v>66.244848192000021</v>
      </c>
      <c r="V30" s="1">
        <v>0</v>
      </c>
      <c r="W30" s="1">
        <v>1395.8616729600003</v>
      </c>
      <c r="X30" s="1">
        <v>2151.2959999999998</v>
      </c>
      <c r="Y30" s="1">
        <v>0</v>
      </c>
      <c r="Z30" s="1">
        <v>0</v>
      </c>
      <c r="AA30" s="1">
        <v>1613.4719999999995</v>
      </c>
      <c r="AB30" s="1">
        <v>0</v>
      </c>
      <c r="AC30" s="1">
        <v>53466.19200000001</v>
      </c>
      <c r="AD30" s="1">
        <v>29.386561536000009</v>
      </c>
      <c r="AE30" s="1">
        <v>1</v>
      </c>
      <c r="AF30" s="1">
        <v>38.288446875000005</v>
      </c>
      <c r="AG30" s="1" t="s">
        <v>56</v>
      </c>
      <c r="AH30" s="1">
        <v>1</v>
      </c>
    </row>
    <row r="31" spans="1:34" x14ac:dyDescent="0.25">
      <c r="A31" t="s">
        <v>58</v>
      </c>
      <c r="B31">
        <v>101</v>
      </c>
      <c r="C31">
        <v>7</v>
      </c>
      <c r="D31" t="s">
        <v>29</v>
      </c>
      <c r="E31" t="s">
        <v>59</v>
      </c>
      <c r="F31" t="s">
        <v>60</v>
      </c>
      <c r="G31" t="s">
        <v>34</v>
      </c>
      <c r="H31" t="s">
        <v>30</v>
      </c>
      <c r="I31" t="s">
        <v>35</v>
      </c>
      <c r="J31" s="1">
        <v>134.00956406250003</v>
      </c>
      <c r="K31" s="10">
        <v>5.3603825625000017</v>
      </c>
      <c r="L31" s="1">
        <v>1</v>
      </c>
      <c r="M31" s="1">
        <v>0</v>
      </c>
      <c r="N31" s="1">
        <v>0</v>
      </c>
      <c r="O31" s="1">
        <v>1</v>
      </c>
      <c r="P31" s="1">
        <v>1</v>
      </c>
      <c r="Q31" s="1">
        <v>9</v>
      </c>
      <c r="R31" s="1">
        <v>90.092993541120009</v>
      </c>
      <c r="S31" s="1">
        <v>0</v>
      </c>
      <c r="T31" s="1">
        <v>0</v>
      </c>
      <c r="U31" s="1">
        <v>67.569745155840025</v>
      </c>
      <c r="V31" s="1">
        <v>0</v>
      </c>
      <c r="W31" s="1">
        <v>1507.5306067968004</v>
      </c>
      <c r="X31" s="1">
        <v>3011.8143999999998</v>
      </c>
      <c r="Y31" s="1">
        <v>0</v>
      </c>
      <c r="Z31" s="1">
        <v>0</v>
      </c>
      <c r="AA31" s="1">
        <v>2258.860799999999</v>
      </c>
      <c r="AB31" s="1">
        <v>0</v>
      </c>
      <c r="AC31" s="1">
        <v>69506.049600000013</v>
      </c>
      <c r="AD31" s="1">
        <v>31.737486458880014</v>
      </c>
      <c r="AE31" s="1">
        <v>1</v>
      </c>
      <c r="AF31" s="1">
        <v>40.20286921875001</v>
      </c>
      <c r="AG31" s="1" t="s">
        <v>56</v>
      </c>
      <c r="AH31" s="1">
        <v>1</v>
      </c>
    </row>
    <row r="32" spans="1:34" x14ac:dyDescent="0.25">
      <c r="A32" t="s">
        <v>58</v>
      </c>
      <c r="B32">
        <v>101</v>
      </c>
      <c r="C32">
        <v>8</v>
      </c>
      <c r="D32" t="s">
        <v>29</v>
      </c>
      <c r="E32" t="s">
        <v>59</v>
      </c>
      <c r="F32" t="s">
        <v>60</v>
      </c>
      <c r="G32" t="s">
        <v>34</v>
      </c>
      <c r="H32" t="s">
        <v>30</v>
      </c>
      <c r="I32" t="s">
        <v>35</v>
      </c>
      <c r="J32" s="1">
        <v>140.71004226562505</v>
      </c>
      <c r="K32" s="10">
        <v>5.6284016906250018</v>
      </c>
      <c r="L32" s="1">
        <v>1</v>
      </c>
      <c r="M32" s="1">
        <v>0</v>
      </c>
      <c r="N32" s="1">
        <v>0</v>
      </c>
      <c r="O32" s="1">
        <v>1</v>
      </c>
      <c r="P32" s="1">
        <v>1</v>
      </c>
      <c r="Q32" s="1">
        <v>9</v>
      </c>
      <c r="R32" s="1">
        <v>91.894853411942407</v>
      </c>
      <c r="S32" s="1">
        <v>0</v>
      </c>
      <c r="T32" s="1">
        <v>0</v>
      </c>
      <c r="U32" s="1">
        <v>68.921140058956823</v>
      </c>
      <c r="V32" s="1">
        <v>0</v>
      </c>
      <c r="W32" s="1">
        <v>1628.1330553405446</v>
      </c>
      <c r="X32" s="1">
        <v>4216.5401599999996</v>
      </c>
      <c r="Y32" s="1">
        <v>0</v>
      </c>
      <c r="Z32" s="1">
        <v>0</v>
      </c>
      <c r="AA32" s="1">
        <v>3162.4051199999985</v>
      </c>
      <c r="AB32" s="1">
        <v>0</v>
      </c>
      <c r="AC32" s="1">
        <v>90357.864480000018</v>
      </c>
      <c r="AD32" s="1">
        <v>34.276485375590418</v>
      </c>
      <c r="AE32" s="1">
        <v>1</v>
      </c>
      <c r="AF32" s="1">
        <v>42.213012679687509</v>
      </c>
      <c r="AG32" s="1" t="s">
        <v>56</v>
      </c>
      <c r="AH32" s="1">
        <v>1</v>
      </c>
    </row>
    <row r="33" spans="1:34" x14ac:dyDescent="0.25">
      <c r="A33" t="s">
        <v>58</v>
      </c>
      <c r="B33">
        <v>101</v>
      </c>
      <c r="C33">
        <v>9</v>
      </c>
      <c r="D33" t="s">
        <v>29</v>
      </c>
      <c r="E33" t="s">
        <v>59</v>
      </c>
      <c r="F33" t="s">
        <v>60</v>
      </c>
      <c r="G33" t="s">
        <v>34</v>
      </c>
      <c r="H33" t="s">
        <v>30</v>
      </c>
      <c r="I33" t="s">
        <v>35</v>
      </c>
      <c r="J33" s="1">
        <v>147.74554437890632</v>
      </c>
      <c r="K33" s="10">
        <v>5.9098217751562521</v>
      </c>
      <c r="L33" s="1">
        <v>1</v>
      </c>
      <c r="M33" s="1">
        <v>0</v>
      </c>
      <c r="N33" s="1">
        <v>0</v>
      </c>
      <c r="O33" s="1">
        <v>1</v>
      </c>
      <c r="P33" s="1">
        <v>1</v>
      </c>
      <c r="Q33" s="1">
        <v>10</v>
      </c>
      <c r="R33" s="1">
        <v>93.732750480181252</v>
      </c>
      <c r="S33" s="1">
        <v>0</v>
      </c>
      <c r="T33" s="1">
        <v>0</v>
      </c>
      <c r="U33" s="1">
        <v>70.299562860135964</v>
      </c>
      <c r="V33" s="1">
        <v>0</v>
      </c>
      <c r="W33" s="1">
        <v>1758.3836997677884</v>
      </c>
      <c r="X33" s="1">
        <v>5903.1562239999994</v>
      </c>
      <c r="Y33" s="1">
        <v>0</v>
      </c>
      <c r="Z33" s="1">
        <v>0</v>
      </c>
      <c r="AA33" s="1">
        <v>4427.3671679999979</v>
      </c>
      <c r="AB33" s="1">
        <v>0</v>
      </c>
      <c r="AC33" s="1">
        <v>117465.22382400003</v>
      </c>
      <c r="AD33" s="1">
        <v>37.018604205637658</v>
      </c>
      <c r="AE33" s="1">
        <v>1</v>
      </c>
      <c r="AF33" s="1">
        <v>44.323663313671886</v>
      </c>
      <c r="AG33" s="1" t="s">
        <v>56</v>
      </c>
      <c r="AH33" s="1">
        <v>1</v>
      </c>
    </row>
    <row r="34" spans="1:34" x14ac:dyDescent="0.25">
      <c r="A34" t="s">
        <v>58</v>
      </c>
      <c r="B34">
        <v>101</v>
      </c>
      <c r="C34">
        <v>10</v>
      </c>
      <c r="D34" t="s">
        <v>29</v>
      </c>
      <c r="E34" t="s">
        <v>59</v>
      </c>
      <c r="F34" t="s">
        <v>60</v>
      </c>
      <c r="G34" t="s">
        <v>34</v>
      </c>
      <c r="H34" t="s">
        <v>30</v>
      </c>
      <c r="I34" t="s">
        <v>35</v>
      </c>
      <c r="J34" s="1">
        <v>155.13282159785163</v>
      </c>
      <c r="K34" s="10">
        <v>6.2053128639140649</v>
      </c>
      <c r="L34" s="1">
        <v>1</v>
      </c>
      <c r="M34" s="1">
        <v>0</v>
      </c>
      <c r="N34" s="1">
        <v>0</v>
      </c>
      <c r="O34" s="1">
        <v>1</v>
      </c>
      <c r="P34" s="1">
        <v>1</v>
      </c>
      <c r="Q34" s="1">
        <v>11</v>
      </c>
      <c r="R34" s="1">
        <v>95.607405489784881</v>
      </c>
      <c r="S34" s="1">
        <v>0</v>
      </c>
      <c r="T34" s="1">
        <v>0</v>
      </c>
      <c r="U34" s="1">
        <v>71.705554117338679</v>
      </c>
      <c r="V34" s="1">
        <v>0</v>
      </c>
      <c r="W34" s="1">
        <v>1899.0543957492116</v>
      </c>
      <c r="X34" s="1">
        <v>8264.4187135999982</v>
      </c>
      <c r="Y34" s="1">
        <v>0</v>
      </c>
      <c r="Z34" s="1">
        <v>0</v>
      </c>
      <c r="AA34" s="1">
        <v>6198.3140351999964</v>
      </c>
      <c r="AB34" s="1">
        <v>0</v>
      </c>
      <c r="AC34" s="1">
        <v>152704.79097120004</v>
      </c>
      <c r="AD34" s="1">
        <v>39.98009254208867</v>
      </c>
      <c r="AE34" s="1">
        <v>1</v>
      </c>
      <c r="AF34" s="1">
        <v>46.539846479355482</v>
      </c>
      <c r="AG34" s="1" t="s">
        <v>56</v>
      </c>
      <c r="AH34" s="1">
        <v>1</v>
      </c>
    </row>
    <row r="36" spans="1:34" x14ac:dyDescent="0.25">
      <c r="A36" t="s">
        <v>61</v>
      </c>
      <c r="B36">
        <v>102</v>
      </c>
      <c r="C36">
        <v>1</v>
      </c>
      <c r="D36" t="s">
        <v>37</v>
      </c>
      <c r="E36" t="s">
        <v>59</v>
      </c>
      <c r="F36" t="s">
        <v>60</v>
      </c>
      <c r="G36" t="s">
        <v>34</v>
      </c>
      <c r="H36" t="s">
        <v>30</v>
      </c>
      <c r="I36" t="s">
        <v>38</v>
      </c>
      <c r="J36" s="1">
        <v>75</v>
      </c>
      <c r="K36" s="10">
        <v>3</v>
      </c>
      <c r="L36" s="1">
        <v>3</v>
      </c>
      <c r="M36" s="1">
        <v>0</v>
      </c>
      <c r="N36" s="1">
        <v>0</v>
      </c>
      <c r="O36" s="1">
        <v>2</v>
      </c>
      <c r="P36" s="1">
        <v>1</v>
      </c>
      <c r="Q36" s="1">
        <v>9</v>
      </c>
      <c r="R36" s="1">
        <v>60</v>
      </c>
      <c r="S36" s="1">
        <v>0</v>
      </c>
      <c r="T36" s="1">
        <v>0</v>
      </c>
      <c r="U36" s="1">
        <v>100</v>
      </c>
      <c r="V36" s="1">
        <v>0</v>
      </c>
      <c r="W36" s="1">
        <v>1050</v>
      </c>
      <c r="X36" s="1">
        <v>300</v>
      </c>
      <c r="Y36" s="1">
        <v>0</v>
      </c>
      <c r="Z36" s="1">
        <v>0</v>
      </c>
      <c r="AA36" s="1">
        <v>500</v>
      </c>
      <c r="AB36" s="1">
        <v>0</v>
      </c>
      <c r="AC36" s="1">
        <v>14400</v>
      </c>
      <c r="AD36" s="1">
        <v>20</v>
      </c>
      <c r="AE36" s="1">
        <v>1</v>
      </c>
      <c r="AF36" s="1">
        <v>5</v>
      </c>
      <c r="AG36" s="1" t="s">
        <v>56</v>
      </c>
      <c r="AH36" s="1">
        <v>1</v>
      </c>
    </row>
    <row r="37" spans="1:34" x14ac:dyDescent="0.25">
      <c r="A37" t="s">
        <v>61</v>
      </c>
      <c r="B37">
        <v>102</v>
      </c>
      <c r="C37">
        <v>2</v>
      </c>
      <c r="D37" t="s">
        <v>37</v>
      </c>
      <c r="E37" t="s">
        <v>59</v>
      </c>
      <c r="F37" t="s">
        <v>60</v>
      </c>
      <c r="G37" t="s">
        <v>34</v>
      </c>
      <c r="H37" t="s">
        <v>30</v>
      </c>
      <c r="I37" t="s">
        <v>38</v>
      </c>
      <c r="J37" s="1">
        <v>78.75</v>
      </c>
      <c r="K37" s="10">
        <v>3.1500000000000004</v>
      </c>
      <c r="L37" s="1">
        <v>3</v>
      </c>
      <c r="M37" s="1">
        <v>0</v>
      </c>
      <c r="N37" s="1">
        <v>0</v>
      </c>
      <c r="O37" s="1">
        <v>2</v>
      </c>
      <c r="P37" s="1">
        <v>1</v>
      </c>
      <c r="Q37" s="1">
        <v>9</v>
      </c>
      <c r="R37" s="1">
        <v>61.2</v>
      </c>
      <c r="S37" s="1">
        <v>0</v>
      </c>
      <c r="T37" s="1">
        <v>0</v>
      </c>
      <c r="U37" s="1">
        <v>102</v>
      </c>
      <c r="V37" s="1">
        <v>0</v>
      </c>
      <c r="W37" s="1">
        <v>1134</v>
      </c>
      <c r="X37" s="1">
        <v>420</v>
      </c>
      <c r="Y37" s="1">
        <v>0</v>
      </c>
      <c r="Z37" s="1">
        <v>0</v>
      </c>
      <c r="AA37" s="1">
        <v>700</v>
      </c>
      <c r="AB37" s="1">
        <v>0</v>
      </c>
      <c r="AC37" s="1">
        <v>18720</v>
      </c>
      <c r="AD37" s="1">
        <v>21.6</v>
      </c>
      <c r="AE37" s="1">
        <v>1</v>
      </c>
      <c r="AF37" s="1">
        <v>5.25</v>
      </c>
      <c r="AG37" s="1" t="s">
        <v>56</v>
      </c>
      <c r="AH37" s="1">
        <v>1</v>
      </c>
    </row>
    <row r="38" spans="1:34" x14ac:dyDescent="0.25">
      <c r="A38" t="s">
        <v>61</v>
      </c>
      <c r="B38">
        <v>102</v>
      </c>
      <c r="C38">
        <v>3</v>
      </c>
      <c r="D38" t="s">
        <v>37</v>
      </c>
      <c r="E38" t="s">
        <v>59</v>
      </c>
      <c r="F38" t="s">
        <v>60</v>
      </c>
      <c r="G38" t="s">
        <v>34</v>
      </c>
      <c r="H38" t="s">
        <v>30</v>
      </c>
      <c r="I38" t="s">
        <v>38</v>
      </c>
      <c r="J38" s="1">
        <v>82.6875</v>
      </c>
      <c r="K38" s="10">
        <v>3.3075000000000006</v>
      </c>
      <c r="L38" s="1">
        <v>3</v>
      </c>
      <c r="M38" s="1">
        <v>0</v>
      </c>
      <c r="N38" s="1">
        <v>0</v>
      </c>
      <c r="O38" s="1">
        <v>2</v>
      </c>
      <c r="P38" s="1">
        <v>1</v>
      </c>
      <c r="Q38" s="1">
        <v>10</v>
      </c>
      <c r="R38" s="1">
        <v>62.424000000000007</v>
      </c>
      <c r="S38" s="1">
        <v>0</v>
      </c>
      <c r="T38" s="1">
        <v>0</v>
      </c>
      <c r="U38" s="1">
        <v>104.04</v>
      </c>
      <c r="V38" s="1">
        <v>0</v>
      </c>
      <c r="W38" s="1">
        <v>1224.72</v>
      </c>
      <c r="X38" s="1">
        <v>588</v>
      </c>
      <c r="Y38" s="1">
        <v>0</v>
      </c>
      <c r="Z38" s="1">
        <v>0</v>
      </c>
      <c r="AA38" s="1">
        <v>979.99999999999989</v>
      </c>
      <c r="AB38" s="1">
        <v>0</v>
      </c>
      <c r="AC38" s="1">
        <v>24336</v>
      </c>
      <c r="AD38" s="1">
        <v>23.328000000000003</v>
      </c>
      <c r="AE38" s="1">
        <v>1</v>
      </c>
      <c r="AF38" s="1">
        <v>5.5125000000000002</v>
      </c>
      <c r="AG38" s="1" t="s">
        <v>56</v>
      </c>
      <c r="AH38" s="1">
        <v>1</v>
      </c>
    </row>
    <row r="39" spans="1:34" x14ac:dyDescent="0.25">
      <c r="A39" t="s">
        <v>61</v>
      </c>
      <c r="B39">
        <v>102</v>
      </c>
      <c r="C39">
        <v>4</v>
      </c>
      <c r="D39" t="s">
        <v>37</v>
      </c>
      <c r="E39" t="s">
        <v>59</v>
      </c>
      <c r="F39" t="s">
        <v>60</v>
      </c>
      <c r="G39" t="s">
        <v>34</v>
      </c>
      <c r="H39" t="s">
        <v>30</v>
      </c>
      <c r="I39" t="s">
        <v>38</v>
      </c>
      <c r="J39" s="1">
        <v>86.821875000000006</v>
      </c>
      <c r="K39" s="10">
        <v>3.4728750000000006</v>
      </c>
      <c r="L39" s="1">
        <v>3</v>
      </c>
      <c r="M39" s="1">
        <v>0</v>
      </c>
      <c r="N39" s="1">
        <v>0</v>
      </c>
      <c r="O39" s="1">
        <v>2</v>
      </c>
      <c r="P39" s="1">
        <v>1</v>
      </c>
      <c r="Q39" s="1">
        <v>10</v>
      </c>
      <c r="R39" s="1">
        <v>63.672480000000007</v>
      </c>
      <c r="S39" s="1">
        <v>0</v>
      </c>
      <c r="T39" s="1">
        <v>0</v>
      </c>
      <c r="U39" s="1">
        <v>106.1208</v>
      </c>
      <c r="V39" s="1">
        <v>0</v>
      </c>
      <c r="W39" s="1">
        <v>1322.6976000000002</v>
      </c>
      <c r="X39" s="1">
        <v>823.19999999999993</v>
      </c>
      <c r="Y39" s="1">
        <v>0</v>
      </c>
      <c r="Z39" s="1">
        <v>0</v>
      </c>
      <c r="AA39" s="1">
        <v>1371.9999999999998</v>
      </c>
      <c r="AB39" s="1">
        <v>0</v>
      </c>
      <c r="AC39" s="1">
        <v>31636.799999999999</v>
      </c>
      <c r="AD39" s="1">
        <v>25.194240000000004</v>
      </c>
      <c r="AE39" s="1">
        <v>1</v>
      </c>
      <c r="AF39" s="1">
        <v>5.7881250000000009</v>
      </c>
      <c r="AG39" s="1" t="s">
        <v>56</v>
      </c>
      <c r="AH39" s="1">
        <v>1</v>
      </c>
    </row>
    <row r="40" spans="1:34" x14ac:dyDescent="0.25">
      <c r="A40" t="s">
        <v>61</v>
      </c>
      <c r="B40">
        <v>102</v>
      </c>
      <c r="C40">
        <v>5</v>
      </c>
      <c r="D40" t="s">
        <v>37</v>
      </c>
      <c r="E40" t="s">
        <v>59</v>
      </c>
      <c r="F40" t="s">
        <v>60</v>
      </c>
      <c r="G40" t="s">
        <v>34</v>
      </c>
      <c r="H40" t="s">
        <v>30</v>
      </c>
      <c r="I40" t="s">
        <v>38</v>
      </c>
      <c r="J40" s="1">
        <v>91.162968750000005</v>
      </c>
      <c r="K40" s="10">
        <v>3.6465187500000007</v>
      </c>
      <c r="L40" s="1">
        <v>3</v>
      </c>
      <c r="M40" s="1">
        <v>0</v>
      </c>
      <c r="N40" s="1">
        <v>0</v>
      </c>
      <c r="O40" s="1">
        <v>2</v>
      </c>
      <c r="P40" s="1">
        <v>1</v>
      </c>
      <c r="Q40" s="1">
        <v>11</v>
      </c>
      <c r="R40" s="1">
        <v>64.945929600000014</v>
      </c>
      <c r="S40" s="1">
        <v>0</v>
      </c>
      <c r="T40" s="1">
        <v>0</v>
      </c>
      <c r="U40" s="1">
        <v>108.243216</v>
      </c>
      <c r="V40" s="1">
        <v>0</v>
      </c>
      <c r="W40" s="1">
        <v>1428.5134080000003</v>
      </c>
      <c r="X40" s="1">
        <v>1152.4799999999998</v>
      </c>
      <c r="Y40" s="1">
        <v>0</v>
      </c>
      <c r="Z40" s="1">
        <v>0</v>
      </c>
      <c r="AA40" s="1">
        <v>1920.7999999999995</v>
      </c>
      <c r="AB40" s="1">
        <v>0</v>
      </c>
      <c r="AC40" s="1">
        <v>41127.840000000004</v>
      </c>
      <c r="AD40" s="1">
        <v>27.209779200000007</v>
      </c>
      <c r="AE40" s="1">
        <v>1</v>
      </c>
      <c r="AF40" s="1">
        <v>6.0775312500000007</v>
      </c>
      <c r="AG40" s="1" t="s">
        <v>56</v>
      </c>
      <c r="AH40" s="1">
        <v>1</v>
      </c>
    </row>
    <row r="41" spans="1:34" x14ac:dyDescent="0.25">
      <c r="A41" t="s">
        <v>61</v>
      </c>
      <c r="B41">
        <v>102</v>
      </c>
      <c r="C41">
        <v>6</v>
      </c>
      <c r="D41" t="s">
        <v>37</v>
      </c>
      <c r="E41" t="s">
        <v>59</v>
      </c>
      <c r="F41" t="s">
        <v>60</v>
      </c>
      <c r="G41" t="s">
        <v>34</v>
      </c>
      <c r="H41" t="s">
        <v>30</v>
      </c>
      <c r="I41" t="s">
        <v>38</v>
      </c>
      <c r="J41" s="1">
        <v>95.721117187500013</v>
      </c>
      <c r="K41" s="10">
        <v>3.8288446875000011</v>
      </c>
      <c r="L41" s="1">
        <v>3</v>
      </c>
      <c r="M41" s="1">
        <v>0</v>
      </c>
      <c r="N41" s="1">
        <v>0</v>
      </c>
      <c r="O41" s="1">
        <v>2</v>
      </c>
      <c r="P41" s="1">
        <v>1</v>
      </c>
      <c r="Q41" s="1">
        <v>11</v>
      </c>
      <c r="R41" s="1">
        <v>66.244848192000021</v>
      </c>
      <c r="S41" s="1">
        <v>0</v>
      </c>
      <c r="T41" s="1">
        <v>0</v>
      </c>
      <c r="U41" s="1">
        <v>110.40808032000001</v>
      </c>
      <c r="V41" s="1">
        <v>0</v>
      </c>
      <c r="W41" s="1">
        <v>1542.7944806400003</v>
      </c>
      <c r="X41" s="1">
        <v>1613.4719999999995</v>
      </c>
      <c r="Y41" s="1">
        <v>0</v>
      </c>
      <c r="Z41" s="1">
        <v>0</v>
      </c>
      <c r="AA41" s="1">
        <v>2689.119999999999</v>
      </c>
      <c r="AB41" s="1">
        <v>0</v>
      </c>
      <c r="AC41" s="1">
        <v>53466.19200000001</v>
      </c>
      <c r="AD41" s="1">
        <v>29.386561536000009</v>
      </c>
      <c r="AE41" s="1">
        <v>1</v>
      </c>
      <c r="AF41" s="1">
        <v>6.3814078125000009</v>
      </c>
      <c r="AG41" s="1" t="s">
        <v>56</v>
      </c>
      <c r="AH41" s="1">
        <v>1</v>
      </c>
    </row>
    <row r="42" spans="1:34" x14ac:dyDescent="0.25">
      <c r="A42" t="s">
        <v>61</v>
      </c>
      <c r="B42">
        <v>102</v>
      </c>
      <c r="C42">
        <v>7</v>
      </c>
      <c r="D42" t="s">
        <v>37</v>
      </c>
      <c r="E42" t="s">
        <v>59</v>
      </c>
      <c r="F42" t="s">
        <v>60</v>
      </c>
      <c r="G42" t="s">
        <v>34</v>
      </c>
      <c r="H42" t="s">
        <v>30</v>
      </c>
      <c r="I42" t="s">
        <v>38</v>
      </c>
      <c r="J42" s="1">
        <v>100.50717304687502</v>
      </c>
      <c r="K42" s="10">
        <v>4.0202869218750017</v>
      </c>
      <c r="L42" s="1">
        <v>3</v>
      </c>
      <c r="M42" s="1">
        <v>0</v>
      </c>
      <c r="N42" s="1">
        <v>0</v>
      </c>
      <c r="O42" s="1">
        <v>2</v>
      </c>
      <c r="P42" s="1">
        <v>1</v>
      </c>
      <c r="Q42" s="1">
        <v>12</v>
      </c>
      <c r="R42" s="1">
        <v>67.569745155840025</v>
      </c>
      <c r="S42" s="1">
        <v>0</v>
      </c>
      <c r="T42" s="1">
        <v>0</v>
      </c>
      <c r="U42" s="1">
        <v>112.61624192640001</v>
      </c>
      <c r="V42" s="1">
        <v>0</v>
      </c>
      <c r="W42" s="1">
        <v>1666.2180390912004</v>
      </c>
      <c r="X42" s="1">
        <v>2258.860799999999</v>
      </c>
      <c r="Y42" s="1">
        <v>0</v>
      </c>
      <c r="Z42" s="1">
        <v>0</v>
      </c>
      <c r="AA42" s="1">
        <v>3764.7679999999982</v>
      </c>
      <c r="AB42" s="1">
        <v>0</v>
      </c>
      <c r="AC42" s="1">
        <v>69506.049600000013</v>
      </c>
      <c r="AD42" s="1">
        <v>31.737486458880014</v>
      </c>
      <c r="AE42" s="1">
        <v>1</v>
      </c>
      <c r="AF42" s="1">
        <v>6.7004782031250016</v>
      </c>
      <c r="AG42" s="1" t="s">
        <v>56</v>
      </c>
      <c r="AH42" s="1">
        <v>1</v>
      </c>
    </row>
    <row r="43" spans="1:34" x14ac:dyDescent="0.25">
      <c r="A43" t="s">
        <v>61</v>
      </c>
      <c r="B43">
        <v>102</v>
      </c>
      <c r="C43">
        <v>8</v>
      </c>
      <c r="D43" t="s">
        <v>37</v>
      </c>
      <c r="E43" t="s">
        <v>59</v>
      </c>
      <c r="F43" t="s">
        <v>60</v>
      </c>
      <c r="G43" t="s">
        <v>34</v>
      </c>
      <c r="H43" t="s">
        <v>30</v>
      </c>
      <c r="I43" t="s">
        <v>38</v>
      </c>
      <c r="J43" s="1">
        <v>105.53253169921878</v>
      </c>
      <c r="K43" s="10">
        <v>4.2213012679687516</v>
      </c>
      <c r="L43" s="1">
        <v>3</v>
      </c>
      <c r="M43" s="1">
        <v>0</v>
      </c>
      <c r="N43" s="1">
        <v>0</v>
      </c>
      <c r="O43" s="1">
        <v>2</v>
      </c>
      <c r="P43" s="1">
        <v>1</v>
      </c>
      <c r="Q43" s="1">
        <v>12</v>
      </c>
      <c r="R43" s="1">
        <v>68.921140058956823</v>
      </c>
      <c r="S43" s="1">
        <v>0</v>
      </c>
      <c r="T43" s="1">
        <v>0</v>
      </c>
      <c r="U43" s="1">
        <v>114.868566764928</v>
      </c>
      <c r="V43" s="1">
        <v>0</v>
      </c>
      <c r="W43" s="1">
        <v>1799.5154822184966</v>
      </c>
      <c r="X43" s="1">
        <v>3162.4051199999985</v>
      </c>
      <c r="Y43" s="1">
        <v>0</v>
      </c>
      <c r="Z43" s="1">
        <v>0</v>
      </c>
      <c r="AA43" s="1">
        <v>5270.6751999999969</v>
      </c>
      <c r="AB43" s="1">
        <v>0</v>
      </c>
      <c r="AC43" s="1">
        <v>90357.864480000018</v>
      </c>
      <c r="AD43" s="1">
        <v>34.276485375590418</v>
      </c>
      <c r="AE43" s="1">
        <v>1</v>
      </c>
      <c r="AF43" s="1">
        <v>7.0355021132812521</v>
      </c>
      <c r="AG43" s="1" t="s">
        <v>56</v>
      </c>
      <c r="AH43" s="1">
        <v>1</v>
      </c>
    </row>
    <row r="44" spans="1:34" x14ac:dyDescent="0.25">
      <c r="A44" t="s">
        <v>61</v>
      </c>
      <c r="B44">
        <v>102</v>
      </c>
      <c r="C44">
        <v>9</v>
      </c>
      <c r="D44" t="s">
        <v>37</v>
      </c>
      <c r="E44" t="s">
        <v>59</v>
      </c>
      <c r="F44" t="s">
        <v>60</v>
      </c>
      <c r="G44" t="s">
        <v>34</v>
      </c>
      <c r="H44" t="s">
        <v>30</v>
      </c>
      <c r="I44" t="s">
        <v>38</v>
      </c>
      <c r="J44" s="1">
        <v>110.80915828417972</v>
      </c>
      <c r="K44" s="10">
        <v>4.4323663313671897</v>
      </c>
      <c r="L44" s="1">
        <v>3</v>
      </c>
      <c r="M44" s="1">
        <v>0</v>
      </c>
      <c r="N44" s="1">
        <v>0</v>
      </c>
      <c r="O44" s="1">
        <v>2</v>
      </c>
      <c r="P44" s="1">
        <v>1</v>
      </c>
      <c r="Q44" s="1">
        <v>13</v>
      </c>
      <c r="R44" s="1">
        <v>70.299562860135964</v>
      </c>
      <c r="S44" s="1">
        <v>0</v>
      </c>
      <c r="T44" s="1">
        <v>0</v>
      </c>
      <c r="U44" s="1">
        <v>117.16593810022657</v>
      </c>
      <c r="V44" s="1">
        <v>0</v>
      </c>
      <c r="W44" s="1">
        <v>1943.4767207959765</v>
      </c>
      <c r="X44" s="1">
        <v>4427.3671679999979</v>
      </c>
      <c r="Y44" s="1">
        <v>0</v>
      </c>
      <c r="Z44" s="1">
        <v>0</v>
      </c>
      <c r="AA44" s="1">
        <v>7378.9452799999954</v>
      </c>
      <c r="AB44" s="1">
        <v>0</v>
      </c>
      <c r="AC44" s="1">
        <v>117465.22382400003</v>
      </c>
      <c r="AD44" s="1">
        <v>37.018604205637658</v>
      </c>
      <c r="AE44" s="1">
        <v>1</v>
      </c>
      <c r="AF44" s="1">
        <v>7.3872772189453153</v>
      </c>
      <c r="AG44" s="1" t="s">
        <v>56</v>
      </c>
      <c r="AH44" s="1">
        <v>1</v>
      </c>
    </row>
    <row r="45" spans="1:34" x14ac:dyDescent="0.25">
      <c r="A45" t="s">
        <v>61</v>
      </c>
      <c r="B45">
        <v>102</v>
      </c>
      <c r="C45">
        <v>10</v>
      </c>
      <c r="D45" t="s">
        <v>37</v>
      </c>
      <c r="E45" t="s">
        <v>59</v>
      </c>
      <c r="F45" t="s">
        <v>60</v>
      </c>
      <c r="G45" t="s">
        <v>34</v>
      </c>
      <c r="H45" t="s">
        <v>30</v>
      </c>
      <c r="I45" t="s">
        <v>38</v>
      </c>
      <c r="J45" s="1">
        <v>116.3496161983887</v>
      </c>
      <c r="K45" s="10">
        <v>4.6539846479355491</v>
      </c>
      <c r="L45" s="1">
        <v>3</v>
      </c>
      <c r="M45" s="1">
        <v>0</v>
      </c>
      <c r="N45" s="1">
        <v>0</v>
      </c>
      <c r="O45" s="1">
        <v>2</v>
      </c>
      <c r="P45" s="1">
        <v>1</v>
      </c>
      <c r="Q45" s="1">
        <v>14</v>
      </c>
      <c r="R45" s="1">
        <v>71.705554117338679</v>
      </c>
      <c r="S45" s="1">
        <v>0</v>
      </c>
      <c r="T45" s="1">
        <v>0</v>
      </c>
      <c r="U45" s="1">
        <v>119.5092568622311</v>
      </c>
      <c r="V45" s="1">
        <v>0</v>
      </c>
      <c r="W45" s="1">
        <v>2098.9548584596546</v>
      </c>
      <c r="X45" s="1">
        <v>6198.3140351999964</v>
      </c>
      <c r="Y45" s="1">
        <v>0</v>
      </c>
      <c r="Z45" s="1">
        <v>0</v>
      </c>
      <c r="AA45" s="1">
        <v>10330.523391999994</v>
      </c>
      <c r="AB45" s="1">
        <v>0</v>
      </c>
      <c r="AC45" s="1">
        <v>152704.79097120004</v>
      </c>
      <c r="AD45" s="1">
        <v>39.98009254208867</v>
      </c>
      <c r="AE45" s="1">
        <v>1</v>
      </c>
      <c r="AF45" s="1">
        <v>7.7566410798925816</v>
      </c>
      <c r="AG45" s="1" t="s">
        <v>56</v>
      </c>
      <c r="AH45" s="1">
        <v>1</v>
      </c>
    </row>
    <row r="47" spans="1:34" x14ac:dyDescent="0.25">
      <c r="A47" t="s">
        <v>62</v>
      </c>
      <c r="B47">
        <v>103</v>
      </c>
      <c r="C47">
        <v>1</v>
      </c>
      <c r="D47" t="s">
        <v>29</v>
      </c>
      <c r="E47" t="s">
        <v>59</v>
      </c>
      <c r="F47" t="s">
        <v>60</v>
      </c>
      <c r="G47" t="s">
        <v>34</v>
      </c>
      <c r="H47" t="s">
        <v>30</v>
      </c>
      <c r="I47" t="s">
        <v>42</v>
      </c>
      <c r="J47" s="1">
        <v>90</v>
      </c>
      <c r="K47" s="10">
        <v>8</v>
      </c>
      <c r="L47" s="1">
        <v>1</v>
      </c>
      <c r="M47" s="1">
        <v>0</v>
      </c>
      <c r="N47" s="1">
        <v>0</v>
      </c>
      <c r="O47" s="1">
        <v>1</v>
      </c>
      <c r="P47" s="1">
        <v>1</v>
      </c>
      <c r="Q47" s="1">
        <v>11</v>
      </c>
      <c r="R47" s="1">
        <v>100</v>
      </c>
      <c r="S47" s="1">
        <v>0</v>
      </c>
      <c r="T47" s="1">
        <v>0</v>
      </c>
      <c r="U47" s="1">
        <v>75</v>
      </c>
      <c r="V47" s="1">
        <v>0</v>
      </c>
      <c r="W47" s="1">
        <v>1300</v>
      </c>
      <c r="X47" s="1">
        <v>500</v>
      </c>
      <c r="Y47" s="1">
        <v>0</v>
      </c>
      <c r="Z47" s="1">
        <v>0</v>
      </c>
      <c r="AA47" s="1">
        <v>550</v>
      </c>
      <c r="AB47" s="1">
        <v>0</v>
      </c>
      <c r="AC47" s="1">
        <v>14400</v>
      </c>
      <c r="AD47" s="1">
        <v>10</v>
      </c>
      <c r="AE47" s="1">
        <v>1</v>
      </c>
      <c r="AF47" s="1">
        <v>20</v>
      </c>
      <c r="AG47" s="1" t="s">
        <v>56</v>
      </c>
      <c r="AH47" s="1">
        <v>1</v>
      </c>
    </row>
    <row r="48" spans="1:34" x14ac:dyDescent="0.25">
      <c r="A48" t="s">
        <v>62</v>
      </c>
      <c r="B48">
        <v>103</v>
      </c>
      <c r="C48">
        <v>2</v>
      </c>
      <c r="D48" t="s">
        <v>29</v>
      </c>
      <c r="E48" t="s">
        <v>59</v>
      </c>
      <c r="F48" t="s">
        <v>60</v>
      </c>
      <c r="G48" t="s">
        <v>34</v>
      </c>
      <c r="H48" t="s">
        <v>30</v>
      </c>
      <c r="I48" t="s">
        <v>42</v>
      </c>
      <c r="J48" s="1">
        <v>94.5</v>
      </c>
      <c r="K48" s="10">
        <v>8.4</v>
      </c>
      <c r="L48" s="1">
        <v>1</v>
      </c>
      <c r="M48" s="1">
        <v>0</v>
      </c>
      <c r="N48" s="1">
        <v>0</v>
      </c>
      <c r="O48" s="1">
        <v>1</v>
      </c>
      <c r="P48" s="1">
        <v>1</v>
      </c>
      <c r="Q48" s="1">
        <v>11</v>
      </c>
      <c r="R48" s="1">
        <v>102</v>
      </c>
      <c r="S48" s="1">
        <v>0</v>
      </c>
      <c r="T48" s="1">
        <v>0</v>
      </c>
      <c r="U48" s="1">
        <v>76.5</v>
      </c>
      <c r="V48" s="1">
        <v>0</v>
      </c>
      <c r="W48" s="1">
        <v>1404</v>
      </c>
      <c r="X48" s="1">
        <v>700</v>
      </c>
      <c r="Y48" s="1">
        <v>0</v>
      </c>
      <c r="Z48" s="1">
        <v>0</v>
      </c>
      <c r="AA48" s="1">
        <v>770</v>
      </c>
      <c r="AB48" s="1">
        <v>0</v>
      </c>
      <c r="AC48" s="1">
        <v>18720</v>
      </c>
      <c r="AD48" s="1">
        <v>10.8</v>
      </c>
      <c r="AE48" s="1">
        <v>1</v>
      </c>
      <c r="AF48" s="1">
        <v>21</v>
      </c>
      <c r="AG48" s="1" t="s">
        <v>56</v>
      </c>
      <c r="AH48" s="1">
        <v>1</v>
      </c>
    </row>
    <row r="49" spans="1:34" x14ac:dyDescent="0.25">
      <c r="A49" t="s">
        <v>62</v>
      </c>
      <c r="B49">
        <v>103</v>
      </c>
      <c r="C49">
        <v>3</v>
      </c>
      <c r="D49" t="s">
        <v>29</v>
      </c>
      <c r="E49" t="s">
        <v>59</v>
      </c>
      <c r="F49" t="s">
        <v>60</v>
      </c>
      <c r="G49" t="s">
        <v>34</v>
      </c>
      <c r="H49" t="s">
        <v>30</v>
      </c>
      <c r="I49" t="s">
        <v>42</v>
      </c>
      <c r="J49" s="1">
        <v>99.225000000000009</v>
      </c>
      <c r="K49" s="10">
        <v>8.82</v>
      </c>
      <c r="L49" s="1">
        <v>1</v>
      </c>
      <c r="M49" s="1">
        <v>0</v>
      </c>
      <c r="N49" s="1">
        <v>0</v>
      </c>
      <c r="O49" s="1">
        <v>1</v>
      </c>
      <c r="P49" s="1">
        <v>1</v>
      </c>
      <c r="Q49" s="1">
        <v>12</v>
      </c>
      <c r="R49" s="1">
        <v>104.04</v>
      </c>
      <c r="S49" s="1">
        <v>0</v>
      </c>
      <c r="T49" s="1">
        <v>0</v>
      </c>
      <c r="U49" s="1">
        <v>78.03</v>
      </c>
      <c r="V49" s="1">
        <v>0</v>
      </c>
      <c r="W49" s="1">
        <v>1516.3200000000002</v>
      </c>
      <c r="X49" s="1">
        <v>979.99999999999989</v>
      </c>
      <c r="Y49" s="1">
        <v>0</v>
      </c>
      <c r="Z49" s="1">
        <v>0</v>
      </c>
      <c r="AA49" s="1">
        <v>1078</v>
      </c>
      <c r="AB49" s="1">
        <v>0</v>
      </c>
      <c r="AC49" s="1">
        <v>24336</v>
      </c>
      <c r="AD49" s="1">
        <v>11.664000000000001</v>
      </c>
      <c r="AE49" s="1">
        <v>1</v>
      </c>
      <c r="AF49" s="1">
        <v>22.05</v>
      </c>
      <c r="AG49" s="1" t="s">
        <v>56</v>
      </c>
      <c r="AH49" s="1">
        <v>1</v>
      </c>
    </row>
    <row r="50" spans="1:34" x14ac:dyDescent="0.25">
      <c r="A50" t="s">
        <v>62</v>
      </c>
      <c r="B50">
        <v>103</v>
      </c>
      <c r="C50">
        <v>4</v>
      </c>
      <c r="D50" t="s">
        <v>29</v>
      </c>
      <c r="E50" t="s">
        <v>59</v>
      </c>
      <c r="F50" t="s">
        <v>60</v>
      </c>
      <c r="G50" t="s">
        <v>34</v>
      </c>
      <c r="H50" t="s">
        <v>30</v>
      </c>
      <c r="I50" t="s">
        <v>42</v>
      </c>
      <c r="J50" s="1">
        <v>104.18625000000002</v>
      </c>
      <c r="K50" s="10">
        <v>9.261000000000001</v>
      </c>
      <c r="L50" s="1">
        <v>1</v>
      </c>
      <c r="M50" s="1">
        <v>0</v>
      </c>
      <c r="N50" s="1">
        <v>0</v>
      </c>
      <c r="O50" s="1">
        <v>1</v>
      </c>
      <c r="P50" s="1">
        <v>1</v>
      </c>
      <c r="Q50" s="1">
        <v>12</v>
      </c>
      <c r="R50" s="1">
        <v>106.1208</v>
      </c>
      <c r="S50" s="1">
        <v>0</v>
      </c>
      <c r="T50" s="1">
        <v>0</v>
      </c>
      <c r="U50" s="1">
        <v>79.590600000000009</v>
      </c>
      <c r="V50" s="1">
        <v>0</v>
      </c>
      <c r="W50" s="1">
        <v>1637.6256000000003</v>
      </c>
      <c r="X50" s="1">
        <v>1371.9999999999998</v>
      </c>
      <c r="Y50" s="1">
        <v>0</v>
      </c>
      <c r="Z50" s="1">
        <v>0</v>
      </c>
      <c r="AA50" s="1">
        <v>1509.1999999999998</v>
      </c>
      <c r="AB50" s="1">
        <v>0</v>
      </c>
      <c r="AC50" s="1">
        <v>31636.799999999999</v>
      </c>
      <c r="AD50" s="1">
        <v>12.597120000000002</v>
      </c>
      <c r="AE50" s="1">
        <v>1</v>
      </c>
      <c r="AF50" s="1">
        <v>23.152500000000003</v>
      </c>
      <c r="AG50" s="1" t="s">
        <v>56</v>
      </c>
      <c r="AH50" s="1">
        <v>1</v>
      </c>
    </row>
    <row r="51" spans="1:34" x14ac:dyDescent="0.25">
      <c r="A51" t="s">
        <v>62</v>
      </c>
      <c r="B51">
        <v>103</v>
      </c>
      <c r="C51">
        <v>5</v>
      </c>
      <c r="D51" t="s">
        <v>29</v>
      </c>
      <c r="E51" t="s">
        <v>59</v>
      </c>
      <c r="F51" t="s">
        <v>60</v>
      </c>
      <c r="G51" t="s">
        <v>34</v>
      </c>
      <c r="H51" t="s">
        <v>30</v>
      </c>
      <c r="I51" t="s">
        <v>42</v>
      </c>
      <c r="J51" s="1">
        <v>109.39556250000003</v>
      </c>
      <c r="K51" s="10">
        <v>9.7240500000000019</v>
      </c>
      <c r="L51" s="1">
        <v>1</v>
      </c>
      <c r="M51" s="1">
        <v>0</v>
      </c>
      <c r="N51" s="1">
        <v>0</v>
      </c>
      <c r="O51" s="1">
        <v>1</v>
      </c>
      <c r="P51" s="1">
        <v>1</v>
      </c>
      <c r="Q51" s="1">
        <v>13</v>
      </c>
      <c r="R51" s="1">
        <v>108.243216</v>
      </c>
      <c r="S51" s="1">
        <v>0</v>
      </c>
      <c r="T51" s="1">
        <v>0</v>
      </c>
      <c r="U51" s="1">
        <v>81.182412000000014</v>
      </c>
      <c r="V51" s="1">
        <v>0</v>
      </c>
      <c r="W51" s="1">
        <v>1768.6356480000004</v>
      </c>
      <c r="X51" s="1">
        <v>1920.7999999999995</v>
      </c>
      <c r="Y51" s="1">
        <v>0</v>
      </c>
      <c r="Z51" s="1">
        <v>0</v>
      </c>
      <c r="AA51" s="1">
        <v>2112.8799999999997</v>
      </c>
      <c r="AB51" s="1">
        <v>0</v>
      </c>
      <c r="AC51" s="1">
        <v>41127.840000000004</v>
      </c>
      <c r="AD51" s="1">
        <v>13.604889600000003</v>
      </c>
      <c r="AE51" s="1">
        <v>1</v>
      </c>
      <c r="AF51" s="1">
        <v>24.310125000000003</v>
      </c>
      <c r="AG51" s="1" t="s">
        <v>56</v>
      </c>
      <c r="AH51" s="1">
        <v>1</v>
      </c>
    </row>
    <row r="52" spans="1:34" x14ac:dyDescent="0.25">
      <c r="A52" t="s">
        <v>62</v>
      </c>
      <c r="B52">
        <v>103</v>
      </c>
      <c r="C52">
        <v>6</v>
      </c>
      <c r="D52" t="s">
        <v>29</v>
      </c>
      <c r="E52" t="s">
        <v>59</v>
      </c>
      <c r="F52" t="s">
        <v>60</v>
      </c>
      <c r="G52" t="s">
        <v>34</v>
      </c>
      <c r="H52" t="s">
        <v>30</v>
      </c>
      <c r="I52" t="s">
        <v>42</v>
      </c>
      <c r="J52" s="1">
        <v>114.86534062500003</v>
      </c>
      <c r="K52" s="10">
        <v>10.210252500000003</v>
      </c>
      <c r="L52" s="1">
        <v>1</v>
      </c>
      <c r="M52" s="1">
        <v>0</v>
      </c>
      <c r="N52" s="1">
        <v>0</v>
      </c>
      <c r="O52" s="1">
        <v>1</v>
      </c>
      <c r="P52" s="1">
        <v>1</v>
      </c>
      <c r="Q52" s="1">
        <v>13</v>
      </c>
      <c r="R52" s="1">
        <v>110.40808032000001</v>
      </c>
      <c r="S52" s="1">
        <v>0</v>
      </c>
      <c r="T52" s="1">
        <v>0</v>
      </c>
      <c r="U52" s="1">
        <v>82.806060240000022</v>
      </c>
      <c r="V52" s="1">
        <v>0</v>
      </c>
      <c r="W52" s="1">
        <v>1910.1264998400006</v>
      </c>
      <c r="X52" s="1">
        <v>2689.119999999999</v>
      </c>
      <c r="Y52" s="1">
        <v>0</v>
      </c>
      <c r="Z52" s="1">
        <v>0</v>
      </c>
      <c r="AA52" s="1">
        <v>2958.0319999999992</v>
      </c>
      <c r="AB52" s="1">
        <v>0</v>
      </c>
      <c r="AC52" s="1">
        <v>53466.19200000001</v>
      </c>
      <c r="AD52" s="1">
        <v>14.693280768000005</v>
      </c>
      <c r="AE52" s="1">
        <v>1</v>
      </c>
      <c r="AF52" s="1">
        <v>25.525631250000004</v>
      </c>
      <c r="AG52" s="1" t="s">
        <v>56</v>
      </c>
      <c r="AH52" s="1">
        <v>1</v>
      </c>
    </row>
    <row r="53" spans="1:34" x14ac:dyDescent="0.25">
      <c r="A53" t="s">
        <v>62</v>
      </c>
      <c r="B53">
        <v>103</v>
      </c>
      <c r="C53">
        <v>7</v>
      </c>
      <c r="D53" t="s">
        <v>29</v>
      </c>
      <c r="E53" t="s">
        <v>59</v>
      </c>
      <c r="F53" t="s">
        <v>60</v>
      </c>
      <c r="G53" t="s">
        <v>34</v>
      </c>
      <c r="H53" t="s">
        <v>30</v>
      </c>
      <c r="I53" t="s">
        <v>42</v>
      </c>
      <c r="J53" s="1">
        <v>120.60860765625004</v>
      </c>
      <c r="K53" s="10">
        <v>10.720765125000003</v>
      </c>
      <c r="L53" s="1">
        <v>1</v>
      </c>
      <c r="M53" s="1">
        <v>0</v>
      </c>
      <c r="N53" s="1">
        <v>0</v>
      </c>
      <c r="O53" s="1">
        <v>1</v>
      </c>
      <c r="P53" s="1">
        <v>1</v>
      </c>
      <c r="Q53" s="1">
        <v>14</v>
      </c>
      <c r="R53" s="1">
        <v>112.61624192640001</v>
      </c>
      <c r="S53" s="1">
        <v>0</v>
      </c>
      <c r="T53" s="1">
        <v>0</v>
      </c>
      <c r="U53" s="1">
        <v>84.462181444800024</v>
      </c>
      <c r="V53" s="1">
        <v>0</v>
      </c>
      <c r="W53" s="1">
        <v>2062.936619827201</v>
      </c>
      <c r="X53" s="1">
        <v>3764.7679999999982</v>
      </c>
      <c r="Y53" s="1">
        <v>0</v>
      </c>
      <c r="Z53" s="1">
        <v>0</v>
      </c>
      <c r="AA53" s="1">
        <v>4141.2447999999986</v>
      </c>
      <c r="AB53" s="1">
        <v>0</v>
      </c>
      <c r="AC53" s="1">
        <v>69506.049600000013</v>
      </c>
      <c r="AD53" s="1">
        <v>15.868743229440007</v>
      </c>
      <c r="AE53" s="1">
        <v>1</v>
      </c>
      <c r="AF53" s="1">
        <v>26.801912812500007</v>
      </c>
      <c r="AG53" s="1" t="s">
        <v>56</v>
      </c>
      <c r="AH53" s="1">
        <v>1</v>
      </c>
    </row>
    <row r="54" spans="1:34" x14ac:dyDescent="0.25">
      <c r="A54" t="s">
        <v>62</v>
      </c>
      <c r="B54">
        <v>103</v>
      </c>
      <c r="C54">
        <v>8</v>
      </c>
      <c r="D54" t="s">
        <v>29</v>
      </c>
      <c r="E54" t="s">
        <v>59</v>
      </c>
      <c r="F54" t="s">
        <v>60</v>
      </c>
      <c r="G54" t="s">
        <v>34</v>
      </c>
      <c r="H54" t="s">
        <v>30</v>
      </c>
      <c r="I54" t="s">
        <v>42</v>
      </c>
      <c r="J54" s="1">
        <v>126.63903803906256</v>
      </c>
      <c r="K54" s="10">
        <v>11.256803381250004</v>
      </c>
      <c r="L54" s="1">
        <v>1</v>
      </c>
      <c r="M54" s="1">
        <v>0</v>
      </c>
      <c r="N54" s="1">
        <v>0</v>
      </c>
      <c r="O54" s="1">
        <v>1</v>
      </c>
      <c r="P54" s="1">
        <v>1</v>
      </c>
      <c r="Q54" s="1">
        <v>14</v>
      </c>
      <c r="R54" s="1">
        <v>114.868566764928</v>
      </c>
      <c r="S54" s="1">
        <v>0</v>
      </c>
      <c r="T54" s="1">
        <v>0</v>
      </c>
      <c r="U54" s="1">
        <v>86.151425073696032</v>
      </c>
      <c r="V54" s="1">
        <v>0</v>
      </c>
      <c r="W54" s="1">
        <v>2227.971549413377</v>
      </c>
      <c r="X54" s="1">
        <v>5270.6751999999969</v>
      </c>
      <c r="Y54" s="1">
        <v>0</v>
      </c>
      <c r="Z54" s="1">
        <v>0</v>
      </c>
      <c r="AA54" s="1">
        <v>5797.7427199999975</v>
      </c>
      <c r="AB54" s="1">
        <v>0</v>
      </c>
      <c r="AC54" s="1">
        <v>90357.864480000018</v>
      </c>
      <c r="AD54" s="1">
        <v>17.138242687795209</v>
      </c>
      <c r="AE54" s="1">
        <v>1</v>
      </c>
      <c r="AF54" s="1">
        <v>28.142008453125008</v>
      </c>
      <c r="AG54" s="1" t="s">
        <v>56</v>
      </c>
      <c r="AH54" s="1">
        <v>1</v>
      </c>
    </row>
    <row r="55" spans="1:34" x14ac:dyDescent="0.25">
      <c r="A55" t="s">
        <v>62</v>
      </c>
      <c r="B55">
        <v>103</v>
      </c>
      <c r="C55">
        <v>9</v>
      </c>
      <c r="D55" t="s">
        <v>29</v>
      </c>
      <c r="E55" t="s">
        <v>59</v>
      </c>
      <c r="F55" t="s">
        <v>60</v>
      </c>
      <c r="G55" t="s">
        <v>34</v>
      </c>
      <c r="H55" t="s">
        <v>30</v>
      </c>
      <c r="I55" t="s">
        <v>42</v>
      </c>
      <c r="J55" s="1">
        <v>132.97098994101569</v>
      </c>
      <c r="K55" s="10">
        <v>11.819643550312504</v>
      </c>
      <c r="L55" s="1">
        <v>1</v>
      </c>
      <c r="M55" s="1">
        <v>0</v>
      </c>
      <c r="N55" s="1">
        <v>0</v>
      </c>
      <c r="O55" s="1">
        <v>1</v>
      </c>
      <c r="P55" s="1">
        <v>1</v>
      </c>
      <c r="Q55" s="1">
        <v>15</v>
      </c>
      <c r="R55" s="1">
        <v>117.16593810022657</v>
      </c>
      <c r="S55" s="1">
        <v>0</v>
      </c>
      <c r="T55" s="1">
        <v>0</v>
      </c>
      <c r="U55" s="1">
        <v>87.874453575169952</v>
      </c>
      <c r="V55" s="1">
        <v>0</v>
      </c>
      <c r="W55" s="1">
        <v>2406.2092733664472</v>
      </c>
      <c r="X55" s="1">
        <v>7378.9452799999954</v>
      </c>
      <c r="Y55" s="1">
        <v>0</v>
      </c>
      <c r="Z55" s="1">
        <v>0</v>
      </c>
      <c r="AA55" s="1">
        <v>8116.8398079999961</v>
      </c>
      <c r="AB55" s="1">
        <v>0</v>
      </c>
      <c r="AC55" s="1">
        <v>117465.22382400003</v>
      </c>
      <c r="AD55" s="1">
        <v>18.509302102818829</v>
      </c>
      <c r="AE55" s="1">
        <v>1</v>
      </c>
      <c r="AF55" s="1">
        <v>29.549108875781261</v>
      </c>
      <c r="AG55" s="1" t="s">
        <v>56</v>
      </c>
      <c r="AH55" s="1">
        <v>1</v>
      </c>
    </row>
    <row r="56" spans="1:34" x14ac:dyDescent="0.25">
      <c r="A56" t="s">
        <v>62</v>
      </c>
      <c r="B56">
        <v>103</v>
      </c>
      <c r="C56">
        <v>10</v>
      </c>
      <c r="D56" t="s">
        <v>29</v>
      </c>
      <c r="E56" t="s">
        <v>59</v>
      </c>
      <c r="F56" t="s">
        <v>60</v>
      </c>
      <c r="G56" t="s">
        <v>34</v>
      </c>
      <c r="H56" t="s">
        <v>30</v>
      </c>
      <c r="I56" t="s">
        <v>42</v>
      </c>
      <c r="J56" s="1">
        <v>139.61953943806648</v>
      </c>
      <c r="K56" s="10">
        <v>12.41062572782813</v>
      </c>
      <c r="L56" s="1">
        <v>1</v>
      </c>
      <c r="M56" s="1">
        <v>0</v>
      </c>
      <c r="N56" s="1">
        <v>0</v>
      </c>
      <c r="O56" s="1">
        <v>1</v>
      </c>
      <c r="P56" s="1">
        <v>1</v>
      </c>
      <c r="Q56" s="1">
        <v>16</v>
      </c>
      <c r="R56" s="1">
        <v>119.5092568622311</v>
      </c>
      <c r="S56" s="1">
        <v>0</v>
      </c>
      <c r="T56" s="1">
        <v>0</v>
      </c>
      <c r="U56" s="1">
        <v>89.631942646673352</v>
      </c>
      <c r="V56" s="1">
        <v>0</v>
      </c>
      <c r="W56" s="1">
        <v>2598.7060152357631</v>
      </c>
      <c r="X56" s="1">
        <v>10330.523391999994</v>
      </c>
      <c r="Y56" s="1">
        <v>0</v>
      </c>
      <c r="Z56" s="1">
        <v>0</v>
      </c>
      <c r="AA56" s="1">
        <v>11363.575731199993</v>
      </c>
      <c r="AB56" s="1">
        <v>0</v>
      </c>
      <c r="AC56" s="1">
        <v>152704.79097120004</v>
      </c>
      <c r="AD56" s="1">
        <v>19.990046271044335</v>
      </c>
      <c r="AE56" s="1">
        <v>1</v>
      </c>
      <c r="AF56" s="1">
        <v>31.026564319570326</v>
      </c>
      <c r="AG56" s="1" t="s">
        <v>56</v>
      </c>
      <c r="AH56" s="1">
        <v>1</v>
      </c>
    </row>
    <row r="58" spans="1:34" x14ac:dyDescent="0.25">
      <c r="A58" t="s">
        <v>63</v>
      </c>
      <c r="B58">
        <v>104</v>
      </c>
      <c r="C58">
        <v>1</v>
      </c>
      <c r="D58" t="s">
        <v>70</v>
      </c>
      <c r="E58" t="s">
        <v>64</v>
      </c>
      <c r="F58" t="s">
        <v>60</v>
      </c>
      <c r="G58" t="s">
        <v>39</v>
      </c>
      <c r="H58" t="s">
        <v>30</v>
      </c>
      <c r="I58" t="s">
        <v>40</v>
      </c>
      <c r="J58" s="1">
        <v>120</v>
      </c>
      <c r="K58" s="10">
        <v>6</v>
      </c>
      <c r="L58" s="1">
        <v>1</v>
      </c>
      <c r="M58" s="1">
        <v>0</v>
      </c>
      <c r="N58" s="1">
        <v>0</v>
      </c>
      <c r="O58" s="1">
        <v>1</v>
      </c>
      <c r="P58" s="1">
        <v>3</v>
      </c>
      <c r="Q58" s="1">
        <v>6</v>
      </c>
      <c r="R58" s="1">
        <v>70</v>
      </c>
      <c r="S58" s="1">
        <v>20</v>
      </c>
      <c r="T58" s="1">
        <v>0</v>
      </c>
      <c r="U58" s="1">
        <v>130</v>
      </c>
      <c r="V58" s="1">
        <v>0</v>
      </c>
      <c r="W58" s="1">
        <v>1200</v>
      </c>
      <c r="X58" s="1">
        <v>350</v>
      </c>
      <c r="Y58" s="1">
        <v>100</v>
      </c>
      <c r="Z58" s="1">
        <v>0</v>
      </c>
      <c r="AA58" s="1">
        <v>650</v>
      </c>
      <c r="AB58" s="1">
        <v>0</v>
      </c>
      <c r="AC58" s="1">
        <v>14400</v>
      </c>
      <c r="AD58" s="1">
        <v>20</v>
      </c>
      <c r="AE58" s="1">
        <v>1</v>
      </c>
      <c r="AF58" s="1">
        <v>15</v>
      </c>
      <c r="AG58" s="1" t="s">
        <v>56</v>
      </c>
      <c r="AH58" s="1">
        <v>1</v>
      </c>
    </row>
    <row r="59" spans="1:34" x14ac:dyDescent="0.25">
      <c r="A59" t="s">
        <v>63</v>
      </c>
      <c r="B59">
        <v>104</v>
      </c>
      <c r="C59">
        <v>2</v>
      </c>
      <c r="D59" t="s">
        <v>70</v>
      </c>
      <c r="E59" t="s">
        <v>64</v>
      </c>
      <c r="F59" t="s">
        <v>60</v>
      </c>
      <c r="G59" t="s">
        <v>39</v>
      </c>
      <c r="H59" t="s">
        <v>30</v>
      </c>
      <c r="I59" t="s">
        <v>40</v>
      </c>
      <c r="J59" s="1">
        <v>126</v>
      </c>
      <c r="K59" s="10">
        <v>6.3000000000000007</v>
      </c>
      <c r="L59" s="1">
        <v>1</v>
      </c>
      <c r="M59" s="1">
        <v>0</v>
      </c>
      <c r="N59" s="1">
        <v>0</v>
      </c>
      <c r="O59" s="1">
        <v>1</v>
      </c>
      <c r="P59" s="1">
        <v>3</v>
      </c>
      <c r="Q59" s="1">
        <v>6</v>
      </c>
      <c r="R59" s="1">
        <v>71.400000000000006</v>
      </c>
      <c r="S59" s="1">
        <v>20.399999999999999</v>
      </c>
      <c r="T59" s="1">
        <v>0</v>
      </c>
      <c r="U59" s="1">
        <v>132.6</v>
      </c>
      <c r="V59" s="1">
        <v>0</v>
      </c>
      <c r="W59" s="1">
        <v>1296</v>
      </c>
      <c r="X59" s="1">
        <v>489.99999999999994</v>
      </c>
      <c r="Y59" s="1">
        <v>140</v>
      </c>
      <c r="Z59" s="1">
        <v>0</v>
      </c>
      <c r="AA59" s="1">
        <v>909.99999999999989</v>
      </c>
      <c r="AB59" s="1">
        <v>0</v>
      </c>
      <c r="AC59" s="1">
        <v>18720</v>
      </c>
      <c r="AD59" s="1">
        <v>21.6</v>
      </c>
      <c r="AE59" s="1">
        <v>1</v>
      </c>
      <c r="AF59" s="1">
        <v>15.75</v>
      </c>
      <c r="AG59" s="1" t="s">
        <v>56</v>
      </c>
      <c r="AH59" s="1">
        <v>1</v>
      </c>
    </row>
    <row r="60" spans="1:34" x14ac:dyDescent="0.25">
      <c r="A60" t="s">
        <v>63</v>
      </c>
      <c r="B60">
        <v>104</v>
      </c>
      <c r="C60">
        <v>3</v>
      </c>
      <c r="D60" t="s">
        <v>70</v>
      </c>
      <c r="E60" t="s">
        <v>64</v>
      </c>
      <c r="F60" t="s">
        <v>60</v>
      </c>
      <c r="G60" t="s">
        <v>39</v>
      </c>
      <c r="H60" t="s">
        <v>30</v>
      </c>
      <c r="I60" t="s">
        <v>40</v>
      </c>
      <c r="J60" s="1">
        <v>132.30000000000001</v>
      </c>
      <c r="K60" s="10">
        <v>6.6150000000000011</v>
      </c>
      <c r="L60" s="1">
        <v>1</v>
      </c>
      <c r="M60" s="1">
        <v>0</v>
      </c>
      <c r="N60" s="1">
        <v>0</v>
      </c>
      <c r="O60" s="1">
        <v>1</v>
      </c>
      <c r="P60" s="1">
        <v>3</v>
      </c>
      <c r="Q60" s="1">
        <v>7</v>
      </c>
      <c r="R60" s="1">
        <v>72.828000000000003</v>
      </c>
      <c r="S60" s="1">
        <v>20.808</v>
      </c>
      <c r="T60" s="1">
        <v>0</v>
      </c>
      <c r="U60" s="1">
        <v>135.25200000000001</v>
      </c>
      <c r="V60" s="1">
        <v>0</v>
      </c>
      <c r="W60" s="1">
        <v>1399.68</v>
      </c>
      <c r="X60" s="1">
        <v>685.99999999999989</v>
      </c>
      <c r="Y60" s="1">
        <v>196</v>
      </c>
      <c r="Z60" s="1">
        <v>0</v>
      </c>
      <c r="AA60" s="1">
        <v>1273.9999999999998</v>
      </c>
      <c r="AB60" s="1">
        <v>0</v>
      </c>
      <c r="AC60" s="1">
        <v>24336</v>
      </c>
      <c r="AD60" s="1">
        <v>23.328000000000003</v>
      </c>
      <c r="AE60" s="1">
        <v>1</v>
      </c>
      <c r="AF60" s="1">
        <v>16.537500000000001</v>
      </c>
      <c r="AG60" s="1" t="s">
        <v>56</v>
      </c>
      <c r="AH60" s="1">
        <v>1</v>
      </c>
    </row>
    <row r="61" spans="1:34" x14ac:dyDescent="0.25">
      <c r="A61" t="s">
        <v>63</v>
      </c>
      <c r="B61">
        <v>104</v>
      </c>
      <c r="C61">
        <v>4</v>
      </c>
      <c r="D61" t="s">
        <v>70</v>
      </c>
      <c r="E61" t="s">
        <v>64</v>
      </c>
      <c r="F61" t="s">
        <v>60</v>
      </c>
      <c r="G61" t="s">
        <v>39</v>
      </c>
      <c r="H61" t="s">
        <v>30</v>
      </c>
      <c r="I61" t="s">
        <v>40</v>
      </c>
      <c r="J61" s="1">
        <v>138.91500000000002</v>
      </c>
      <c r="K61" s="10">
        <v>6.9457500000000012</v>
      </c>
      <c r="L61" s="1">
        <v>1</v>
      </c>
      <c r="M61" s="1">
        <v>0</v>
      </c>
      <c r="N61" s="1">
        <v>0</v>
      </c>
      <c r="O61" s="1">
        <v>1</v>
      </c>
      <c r="P61" s="1">
        <v>3</v>
      </c>
      <c r="Q61" s="1">
        <v>7</v>
      </c>
      <c r="R61" s="1">
        <v>74.284559999999999</v>
      </c>
      <c r="S61" s="1">
        <v>21.224160000000001</v>
      </c>
      <c r="T61" s="1">
        <v>0</v>
      </c>
      <c r="U61" s="1">
        <v>137.95704000000001</v>
      </c>
      <c r="V61" s="1">
        <v>0</v>
      </c>
      <c r="W61" s="1">
        <v>1511.6544000000001</v>
      </c>
      <c r="X61" s="1">
        <v>960.39999999999975</v>
      </c>
      <c r="Y61" s="1">
        <v>274.39999999999998</v>
      </c>
      <c r="Z61" s="1">
        <v>0</v>
      </c>
      <c r="AA61" s="1">
        <v>1783.5999999999997</v>
      </c>
      <c r="AB61" s="1">
        <v>0</v>
      </c>
      <c r="AC61" s="1">
        <v>31636.799999999999</v>
      </c>
      <c r="AD61" s="1">
        <v>25.194240000000004</v>
      </c>
      <c r="AE61" s="1">
        <v>1</v>
      </c>
      <c r="AF61" s="1">
        <v>17.364375000000003</v>
      </c>
      <c r="AG61" s="1" t="s">
        <v>56</v>
      </c>
      <c r="AH61" s="1">
        <v>1</v>
      </c>
    </row>
    <row r="62" spans="1:34" x14ac:dyDescent="0.25">
      <c r="A62" t="s">
        <v>63</v>
      </c>
      <c r="B62">
        <v>104</v>
      </c>
      <c r="C62">
        <v>5</v>
      </c>
      <c r="D62" t="s">
        <v>70</v>
      </c>
      <c r="E62" t="s">
        <v>64</v>
      </c>
      <c r="F62" t="s">
        <v>60</v>
      </c>
      <c r="G62" t="s">
        <v>39</v>
      </c>
      <c r="H62" t="s">
        <v>30</v>
      </c>
      <c r="I62" t="s">
        <v>40</v>
      </c>
      <c r="J62" s="1">
        <v>145.86075000000002</v>
      </c>
      <c r="K62" s="10">
        <v>7.2930375000000014</v>
      </c>
      <c r="L62" s="1">
        <v>1</v>
      </c>
      <c r="M62" s="1">
        <v>0</v>
      </c>
      <c r="N62" s="1">
        <v>0</v>
      </c>
      <c r="O62" s="1">
        <v>1</v>
      </c>
      <c r="P62" s="1">
        <v>3</v>
      </c>
      <c r="Q62" s="1">
        <v>8</v>
      </c>
      <c r="R62" s="1">
        <v>75.770251200000004</v>
      </c>
      <c r="S62" s="1">
        <v>21.648643200000002</v>
      </c>
      <c r="T62" s="1">
        <v>0</v>
      </c>
      <c r="U62" s="1">
        <v>140.71618080000002</v>
      </c>
      <c r="V62" s="1">
        <v>0</v>
      </c>
      <c r="W62" s="1">
        <v>1632.5867520000002</v>
      </c>
      <c r="X62" s="1">
        <v>1344.5599999999995</v>
      </c>
      <c r="Y62" s="1">
        <v>384.15999999999997</v>
      </c>
      <c r="Z62" s="1">
        <v>0</v>
      </c>
      <c r="AA62" s="1">
        <v>2497.0399999999995</v>
      </c>
      <c r="AB62" s="1">
        <v>0</v>
      </c>
      <c r="AC62" s="1">
        <v>41127.840000000004</v>
      </c>
      <c r="AD62" s="1">
        <v>27.209779200000007</v>
      </c>
      <c r="AE62" s="1">
        <v>1</v>
      </c>
      <c r="AF62" s="1">
        <v>18.232593750000003</v>
      </c>
      <c r="AG62" s="1" t="s">
        <v>56</v>
      </c>
      <c r="AH62" s="1">
        <v>1</v>
      </c>
    </row>
    <row r="63" spans="1:34" x14ac:dyDescent="0.25">
      <c r="A63" t="s">
        <v>63</v>
      </c>
      <c r="B63">
        <v>104</v>
      </c>
      <c r="C63">
        <v>6</v>
      </c>
      <c r="D63" t="s">
        <v>70</v>
      </c>
      <c r="E63" t="s">
        <v>64</v>
      </c>
      <c r="F63" t="s">
        <v>60</v>
      </c>
      <c r="G63" t="s">
        <v>39</v>
      </c>
      <c r="H63" t="s">
        <v>30</v>
      </c>
      <c r="I63" t="s">
        <v>40</v>
      </c>
      <c r="J63" s="1">
        <v>153.15378750000002</v>
      </c>
      <c r="K63" s="10">
        <v>7.6576893750000021</v>
      </c>
      <c r="L63" s="1">
        <v>1</v>
      </c>
      <c r="M63" s="1">
        <v>0</v>
      </c>
      <c r="N63" s="1">
        <v>0</v>
      </c>
      <c r="O63" s="1">
        <v>1</v>
      </c>
      <c r="P63" s="1">
        <v>3</v>
      </c>
      <c r="Q63" s="1">
        <v>8</v>
      </c>
      <c r="R63" s="1">
        <v>77.285656224000007</v>
      </c>
      <c r="S63" s="1">
        <v>22.081616064000002</v>
      </c>
      <c r="T63" s="1">
        <v>0</v>
      </c>
      <c r="U63" s="1">
        <v>143.53050441600001</v>
      </c>
      <c r="V63" s="1">
        <v>0</v>
      </c>
      <c r="W63" s="1">
        <v>1763.1936921600002</v>
      </c>
      <c r="X63" s="1">
        <v>1882.3839999999991</v>
      </c>
      <c r="Y63" s="1">
        <v>537.82399999999996</v>
      </c>
      <c r="Z63" s="1">
        <v>0</v>
      </c>
      <c r="AA63" s="1">
        <v>3495.8559999999993</v>
      </c>
      <c r="AB63" s="1">
        <v>0</v>
      </c>
      <c r="AC63" s="1">
        <v>53466.19200000001</v>
      </c>
      <c r="AD63" s="1">
        <v>29.386561536000009</v>
      </c>
      <c r="AE63" s="1">
        <v>1</v>
      </c>
      <c r="AF63" s="1">
        <v>19.144223437500003</v>
      </c>
      <c r="AG63" s="1" t="s">
        <v>56</v>
      </c>
      <c r="AH63" s="1">
        <v>1</v>
      </c>
    </row>
    <row r="64" spans="1:34" x14ac:dyDescent="0.25">
      <c r="A64" t="s">
        <v>63</v>
      </c>
      <c r="B64">
        <v>104</v>
      </c>
      <c r="C64">
        <v>7</v>
      </c>
      <c r="D64" t="s">
        <v>70</v>
      </c>
      <c r="E64" t="s">
        <v>64</v>
      </c>
      <c r="F64" t="s">
        <v>60</v>
      </c>
      <c r="G64" t="s">
        <v>39</v>
      </c>
      <c r="H64" t="s">
        <v>30</v>
      </c>
      <c r="I64" t="s">
        <v>40</v>
      </c>
      <c r="J64" s="1">
        <v>160.81147687500004</v>
      </c>
      <c r="K64" s="10">
        <v>8.0405738437500034</v>
      </c>
      <c r="L64" s="1">
        <v>1</v>
      </c>
      <c r="M64" s="1">
        <v>0</v>
      </c>
      <c r="N64" s="1">
        <v>0</v>
      </c>
      <c r="O64" s="1">
        <v>1</v>
      </c>
      <c r="P64" s="1">
        <v>3</v>
      </c>
      <c r="Q64" s="1">
        <v>9</v>
      </c>
      <c r="R64" s="1">
        <v>78.83136934848001</v>
      </c>
      <c r="S64" s="1">
        <v>22.523248385280002</v>
      </c>
      <c r="T64" s="1">
        <v>0</v>
      </c>
      <c r="U64" s="1">
        <v>146.40111450432002</v>
      </c>
      <c r="V64" s="1">
        <v>0</v>
      </c>
      <c r="W64" s="1">
        <v>1904.2491875328003</v>
      </c>
      <c r="X64" s="1">
        <v>2635.3375999999985</v>
      </c>
      <c r="Y64" s="1">
        <v>752.95359999999994</v>
      </c>
      <c r="Z64" s="1">
        <v>0</v>
      </c>
      <c r="AA64" s="1">
        <v>4894.1983999999984</v>
      </c>
      <c r="AB64" s="1">
        <v>0</v>
      </c>
      <c r="AC64" s="1">
        <v>69506.049600000013</v>
      </c>
      <c r="AD64" s="1">
        <v>31.737486458880014</v>
      </c>
      <c r="AE64" s="1">
        <v>1</v>
      </c>
      <c r="AF64" s="1">
        <v>20.101434609375005</v>
      </c>
      <c r="AG64" s="1" t="s">
        <v>56</v>
      </c>
      <c r="AH64" s="1">
        <v>1</v>
      </c>
    </row>
    <row r="65" spans="1:34" x14ac:dyDescent="0.25">
      <c r="A65" t="s">
        <v>63</v>
      </c>
      <c r="B65">
        <v>104</v>
      </c>
      <c r="C65">
        <v>8</v>
      </c>
      <c r="D65" t="s">
        <v>70</v>
      </c>
      <c r="E65" t="s">
        <v>64</v>
      </c>
      <c r="F65" t="s">
        <v>60</v>
      </c>
      <c r="G65" t="s">
        <v>39</v>
      </c>
      <c r="H65" t="s">
        <v>30</v>
      </c>
      <c r="I65" t="s">
        <v>40</v>
      </c>
      <c r="J65" s="1">
        <v>168.85205071875004</v>
      </c>
      <c r="K65" s="10">
        <v>8.4426025359375032</v>
      </c>
      <c r="L65" s="1">
        <v>1</v>
      </c>
      <c r="M65" s="1">
        <v>0</v>
      </c>
      <c r="N65" s="1">
        <v>0</v>
      </c>
      <c r="O65" s="1">
        <v>1</v>
      </c>
      <c r="P65" s="1">
        <v>3</v>
      </c>
      <c r="Q65" s="1">
        <v>9</v>
      </c>
      <c r="R65" s="1">
        <v>80.407996735449615</v>
      </c>
      <c r="S65" s="1">
        <v>22.973713352985602</v>
      </c>
      <c r="T65" s="1">
        <v>0</v>
      </c>
      <c r="U65" s="1">
        <v>149.32913679440642</v>
      </c>
      <c r="V65" s="1">
        <v>0</v>
      </c>
      <c r="W65" s="1">
        <v>2056.5891225354244</v>
      </c>
      <c r="X65" s="1">
        <v>3689.4726399999977</v>
      </c>
      <c r="Y65" s="1">
        <v>1054.1350399999999</v>
      </c>
      <c r="Z65" s="1">
        <v>0</v>
      </c>
      <c r="AA65" s="1">
        <v>6851.8777599999976</v>
      </c>
      <c r="AB65" s="1">
        <v>0</v>
      </c>
      <c r="AC65" s="1">
        <v>90357.864480000018</v>
      </c>
      <c r="AD65" s="1">
        <v>34.276485375590418</v>
      </c>
      <c r="AE65" s="1">
        <v>1</v>
      </c>
      <c r="AF65" s="1">
        <v>21.106506339843754</v>
      </c>
      <c r="AG65" s="1" t="s">
        <v>56</v>
      </c>
      <c r="AH65" s="1">
        <v>1</v>
      </c>
    </row>
    <row r="66" spans="1:34" x14ac:dyDescent="0.25">
      <c r="A66" t="s">
        <v>63</v>
      </c>
      <c r="B66">
        <v>104</v>
      </c>
      <c r="C66">
        <v>9</v>
      </c>
      <c r="D66" t="s">
        <v>70</v>
      </c>
      <c r="E66" t="s">
        <v>64</v>
      </c>
      <c r="F66" t="s">
        <v>60</v>
      </c>
      <c r="G66" t="s">
        <v>39</v>
      </c>
      <c r="H66" t="s">
        <v>30</v>
      </c>
      <c r="I66" t="s">
        <v>40</v>
      </c>
      <c r="J66" s="1">
        <v>177.29465325468755</v>
      </c>
      <c r="K66" s="10">
        <v>8.8647326627343794</v>
      </c>
      <c r="L66" s="1">
        <v>1</v>
      </c>
      <c r="M66" s="1">
        <v>0</v>
      </c>
      <c r="N66" s="1">
        <v>0</v>
      </c>
      <c r="O66" s="1">
        <v>1</v>
      </c>
      <c r="P66" s="1">
        <v>3</v>
      </c>
      <c r="Q66" s="1">
        <v>10</v>
      </c>
      <c r="R66" s="1">
        <v>82.016156670158608</v>
      </c>
      <c r="S66" s="1">
        <v>23.433187620045313</v>
      </c>
      <c r="T66" s="1">
        <v>0</v>
      </c>
      <c r="U66" s="1">
        <v>152.31571953029456</v>
      </c>
      <c r="V66" s="1">
        <v>0</v>
      </c>
      <c r="W66" s="1">
        <v>2221.1162523382586</v>
      </c>
      <c r="X66" s="1">
        <v>5165.2616959999968</v>
      </c>
      <c r="Y66" s="1">
        <v>1475.7890559999998</v>
      </c>
      <c r="Z66" s="1">
        <v>0</v>
      </c>
      <c r="AA66" s="1">
        <v>9592.6288639999966</v>
      </c>
      <c r="AB66" s="1">
        <v>0</v>
      </c>
      <c r="AC66" s="1">
        <v>117465.22382400003</v>
      </c>
      <c r="AD66" s="1">
        <v>37.018604205637658</v>
      </c>
      <c r="AE66" s="1">
        <v>1</v>
      </c>
      <c r="AF66" s="1">
        <v>22.161831656835943</v>
      </c>
      <c r="AG66" s="1" t="s">
        <v>56</v>
      </c>
      <c r="AH66" s="1">
        <v>1</v>
      </c>
    </row>
    <row r="67" spans="1:34" x14ac:dyDescent="0.25">
      <c r="A67" t="s">
        <v>63</v>
      </c>
      <c r="B67">
        <v>104</v>
      </c>
      <c r="C67">
        <v>10</v>
      </c>
      <c r="D67" t="s">
        <v>70</v>
      </c>
      <c r="E67" t="s">
        <v>64</v>
      </c>
      <c r="F67" t="s">
        <v>60</v>
      </c>
      <c r="G67" t="s">
        <v>39</v>
      </c>
      <c r="H67" t="s">
        <v>30</v>
      </c>
      <c r="I67" t="s">
        <v>40</v>
      </c>
      <c r="J67" s="1">
        <v>186.15938591742193</v>
      </c>
      <c r="K67" s="10">
        <v>9.3079692958710982</v>
      </c>
      <c r="L67" s="1">
        <v>1</v>
      </c>
      <c r="M67" s="1">
        <v>0</v>
      </c>
      <c r="N67" s="1">
        <v>0</v>
      </c>
      <c r="O67" s="1">
        <v>1</v>
      </c>
      <c r="P67" s="1">
        <v>3</v>
      </c>
      <c r="Q67" s="1">
        <v>11</v>
      </c>
      <c r="R67" s="1">
        <v>83.65647980356178</v>
      </c>
      <c r="S67" s="1">
        <v>23.90185137244622</v>
      </c>
      <c r="T67" s="1">
        <v>0</v>
      </c>
      <c r="U67" s="1">
        <v>155.36203392090044</v>
      </c>
      <c r="V67" s="1">
        <v>0</v>
      </c>
      <c r="W67" s="1">
        <v>2398.8055525253194</v>
      </c>
      <c r="X67" s="1">
        <v>7231.366374399995</v>
      </c>
      <c r="Y67" s="1">
        <v>2066.1046783999996</v>
      </c>
      <c r="Z67" s="1">
        <v>0</v>
      </c>
      <c r="AA67" s="1">
        <v>13429.680409599994</v>
      </c>
      <c r="AB67" s="1">
        <v>0</v>
      </c>
      <c r="AC67" s="1">
        <v>152704.79097120004</v>
      </c>
      <c r="AD67" s="1">
        <v>39.98009254208867</v>
      </c>
      <c r="AE67" s="1">
        <v>1</v>
      </c>
      <c r="AF67" s="1">
        <v>23.269923239677741</v>
      </c>
      <c r="AG67" s="1" t="s">
        <v>56</v>
      </c>
      <c r="AH67" s="1">
        <v>1</v>
      </c>
    </row>
    <row r="69" spans="1:34" x14ac:dyDescent="0.25">
      <c r="A69" t="s">
        <v>91</v>
      </c>
      <c r="B69">
        <v>105</v>
      </c>
      <c r="C69">
        <v>1</v>
      </c>
      <c r="D69" t="s">
        <v>41</v>
      </c>
      <c r="E69" t="s">
        <v>64</v>
      </c>
      <c r="F69" t="s">
        <v>65</v>
      </c>
      <c r="G69" t="s">
        <v>34</v>
      </c>
      <c r="H69" t="s">
        <v>30</v>
      </c>
      <c r="I69" t="s">
        <v>92</v>
      </c>
      <c r="J69" s="1">
        <v>160</v>
      </c>
      <c r="K69" s="10">
        <v>14</v>
      </c>
      <c r="L69" s="1">
        <v>1</v>
      </c>
      <c r="M69" s="1">
        <v>0</v>
      </c>
      <c r="N69" s="1">
        <v>0</v>
      </c>
      <c r="O69" s="1">
        <v>1</v>
      </c>
      <c r="P69" s="1">
        <v>2</v>
      </c>
      <c r="Q69" s="1">
        <v>21</v>
      </c>
      <c r="R69" s="1">
        <v>250</v>
      </c>
      <c r="S69" s="1">
        <v>0</v>
      </c>
      <c r="T69" s="1">
        <v>0</v>
      </c>
      <c r="U69" s="1">
        <v>170</v>
      </c>
      <c r="V69" s="1">
        <v>0</v>
      </c>
      <c r="W69" s="1">
        <v>3400</v>
      </c>
      <c r="X69" s="1">
        <v>625</v>
      </c>
      <c r="Y69" s="1">
        <v>0</v>
      </c>
      <c r="Z69" s="1">
        <v>0</v>
      </c>
      <c r="AA69" s="1">
        <v>425</v>
      </c>
      <c r="AB69" s="1">
        <v>0</v>
      </c>
      <c r="AC69" s="1">
        <v>21600</v>
      </c>
      <c r="AD69" s="1">
        <v>10</v>
      </c>
      <c r="AE69" s="1">
        <v>2</v>
      </c>
      <c r="AF69" s="1">
        <v>10</v>
      </c>
      <c r="AG69" s="1" t="s">
        <v>56</v>
      </c>
      <c r="AH69" s="1">
        <v>2</v>
      </c>
    </row>
    <row r="70" spans="1:34" x14ac:dyDescent="0.25">
      <c r="A70" t="s">
        <v>91</v>
      </c>
      <c r="B70">
        <v>105</v>
      </c>
      <c r="C70">
        <v>2</v>
      </c>
      <c r="D70" t="s">
        <v>41</v>
      </c>
      <c r="E70" t="s">
        <v>64</v>
      </c>
      <c r="F70" t="s">
        <v>65</v>
      </c>
      <c r="G70" t="s">
        <v>34</v>
      </c>
      <c r="H70" t="s">
        <v>30</v>
      </c>
      <c r="I70" t="s">
        <v>92</v>
      </c>
      <c r="J70" s="1">
        <v>168</v>
      </c>
      <c r="K70" s="10">
        <v>14.700000000000001</v>
      </c>
      <c r="L70" s="1">
        <v>1</v>
      </c>
      <c r="M70" s="1">
        <v>0</v>
      </c>
      <c r="N70" s="1">
        <v>0</v>
      </c>
      <c r="O70" s="1">
        <v>1</v>
      </c>
      <c r="P70" s="1">
        <v>2</v>
      </c>
      <c r="Q70" s="1">
        <v>21</v>
      </c>
      <c r="R70" s="1">
        <v>255</v>
      </c>
      <c r="S70" s="1">
        <v>0</v>
      </c>
      <c r="T70" s="1">
        <v>0</v>
      </c>
      <c r="U70" s="1">
        <v>173.4</v>
      </c>
      <c r="V70" s="1">
        <v>0</v>
      </c>
      <c r="W70" s="1">
        <v>3672.0000000000005</v>
      </c>
      <c r="X70" s="1">
        <v>875</v>
      </c>
      <c r="Y70" s="1">
        <v>0</v>
      </c>
      <c r="Z70" s="1">
        <v>0</v>
      </c>
      <c r="AA70" s="1">
        <v>595</v>
      </c>
      <c r="AB70" s="1">
        <v>0</v>
      </c>
      <c r="AC70" s="1">
        <v>28080</v>
      </c>
      <c r="AD70" s="1">
        <v>10.8</v>
      </c>
      <c r="AE70" s="1">
        <v>2</v>
      </c>
      <c r="AF70" s="1">
        <v>10.5</v>
      </c>
      <c r="AG70" s="1" t="s">
        <v>56</v>
      </c>
      <c r="AH70" s="1">
        <v>2</v>
      </c>
    </row>
    <row r="71" spans="1:34" x14ac:dyDescent="0.25">
      <c r="A71" t="s">
        <v>91</v>
      </c>
      <c r="B71">
        <v>105</v>
      </c>
      <c r="C71">
        <v>3</v>
      </c>
      <c r="D71" t="s">
        <v>41</v>
      </c>
      <c r="E71" t="s">
        <v>64</v>
      </c>
      <c r="F71" t="s">
        <v>65</v>
      </c>
      <c r="G71" t="s">
        <v>34</v>
      </c>
      <c r="H71" t="s">
        <v>30</v>
      </c>
      <c r="I71" t="s">
        <v>92</v>
      </c>
      <c r="J71" s="1">
        <v>176.4</v>
      </c>
      <c r="K71" s="10">
        <v>15.435000000000002</v>
      </c>
      <c r="L71" s="1">
        <v>1</v>
      </c>
      <c r="M71" s="1">
        <v>0</v>
      </c>
      <c r="N71" s="1">
        <v>0</v>
      </c>
      <c r="O71" s="1">
        <v>1</v>
      </c>
      <c r="P71" s="1">
        <v>2</v>
      </c>
      <c r="Q71" s="1">
        <v>22</v>
      </c>
      <c r="R71" s="1">
        <v>260.10000000000002</v>
      </c>
      <c r="S71" s="1">
        <v>0</v>
      </c>
      <c r="T71" s="1">
        <v>0</v>
      </c>
      <c r="U71" s="1">
        <v>176.86799999999999</v>
      </c>
      <c r="V71" s="1">
        <v>0</v>
      </c>
      <c r="W71" s="1">
        <v>3965.7600000000007</v>
      </c>
      <c r="X71" s="1">
        <v>1225</v>
      </c>
      <c r="Y71" s="1">
        <v>0</v>
      </c>
      <c r="Z71" s="1">
        <v>0</v>
      </c>
      <c r="AA71" s="1">
        <v>833</v>
      </c>
      <c r="AB71" s="1">
        <v>0</v>
      </c>
      <c r="AC71" s="1">
        <v>36504</v>
      </c>
      <c r="AD71" s="1">
        <v>11.664000000000001</v>
      </c>
      <c r="AE71" s="1">
        <v>2</v>
      </c>
      <c r="AF71" s="1">
        <v>11.025</v>
      </c>
      <c r="AG71" s="1" t="s">
        <v>56</v>
      </c>
      <c r="AH71" s="1">
        <v>2</v>
      </c>
    </row>
    <row r="72" spans="1:34" x14ac:dyDescent="0.25">
      <c r="A72" t="s">
        <v>91</v>
      </c>
      <c r="B72">
        <v>105</v>
      </c>
      <c r="C72">
        <v>4</v>
      </c>
      <c r="D72" t="s">
        <v>41</v>
      </c>
      <c r="E72" t="s">
        <v>64</v>
      </c>
      <c r="F72" t="s">
        <v>65</v>
      </c>
      <c r="G72" t="s">
        <v>34</v>
      </c>
      <c r="H72" t="s">
        <v>30</v>
      </c>
      <c r="I72" t="s">
        <v>92</v>
      </c>
      <c r="J72" s="1">
        <v>185.22000000000003</v>
      </c>
      <c r="K72" s="10">
        <v>16.206750000000003</v>
      </c>
      <c r="L72" s="1">
        <v>1</v>
      </c>
      <c r="M72" s="1">
        <v>0</v>
      </c>
      <c r="N72" s="1">
        <v>0</v>
      </c>
      <c r="O72" s="1">
        <v>1</v>
      </c>
      <c r="P72" s="1">
        <v>2</v>
      </c>
      <c r="Q72" s="1">
        <v>22</v>
      </c>
      <c r="R72" s="1">
        <v>265.30200000000002</v>
      </c>
      <c r="S72" s="1">
        <v>0</v>
      </c>
      <c r="T72" s="1">
        <v>0</v>
      </c>
      <c r="U72" s="1">
        <v>180.40536</v>
      </c>
      <c r="V72" s="1">
        <v>0</v>
      </c>
      <c r="W72" s="1">
        <v>4283.0208000000011</v>
      </c>
      <c r="X72" s="1">
        <v>1715</v>
      </c>
      <c r="Y72" s="1">
        <v>0</v>
      </c>
      <c r="Z72" s="1">
        <v>0</v>
      </c>
      <c r="AA72" s="1">
        <v>1166.1999999999998</v>
      </c>
      <c r="AB72" s="1">
        <v>0</v>
      </c>
      <c r="AC72" s="1">
        <v>47455.200000000004</v>
      </c>
      <c r="AD72" s="1">
        <v>12.597120000000002</v>
      </c>
      <c r="AE72" s="1">
        <v>2</v>
      </c>
      <c r="AF72" s="1">
        <v>11.576250000000002</v>
      </c>
      <c r="AG72" s="1" t="s">
        <v>56</v>
      </c>
      <c r="AH72" s="1">
        <v>2</v>
      </c>
    </row>
    <row r="73" spans="1:34" x14ac:dyDescent="0.25">
      <c r="A73" t="s">
        <v>91</v>
      </c>
      <c r="B73">
        <v>105</v>
      </c>
      <c r="C73">
        <v>5</v>
      </c>
      <c r="D73" t="s">
        <v>41</v>
      </c>
      <c r="E73" t="s">
        <v>64</v>
      </c>
      <c r="F73" t="s">
        <v>65</v>
      </c>
      <c r="G73" t="s">
        <v>34</v>
      </c>
      <c r="H73" t="s">
        <v>30</v>
      </c>
      <c r="I73" t="s">
        <v>92</v>
      </c>
      <c r="J73" s="1">
        <v>194.48100000000002</v>
      </c>
      <c r="K73" s="10">
        <v>17.017087500000002</v>
      </c>
      <c r="L73" s="1">
        <v>1</v>
      </c>
      <c r="M73" s="1">
        <v>0</v>
      </c>
      <c r="N73" s="1">
        <v>0</v>
      </c>
      <c r="O73" s="1">
        <v>1</v>
      </c>
      <c r="P73" s="1">
        <v>2</v>
      </c>
      <c r="Q73" s="1">
        <v>23</v>
      </c>
      <c r="R73" s="1">
        <v>270.60804000000002</v>
      </c>
      <c r="S73" s="1">
        <v>0</v>
      </c>
      <c r="T73" s="1">
        <v>0</v>
      </c>
      <c r="U73" s="1">
        <v>184.01346720000001</v>
      </c>
      <c r="V73" s="1">
        <v>0</v>
      </c>
      <c r="W73" s="1">
        <v>4625.6624640000018</v>
      </c>
      <c r="X73" s="1">
        <v>2401</v>
      </c>
      <c r="Y73" s="1">
        <v>0</v>
      </c>
      <c r="Z73" s="1">
        <v>0</v>
      </c>
      <c r="AA73" s="1">
        <v>1632.6799999999996</v>
      </c>
      <c r="AB73" s="1">
        <v>0</v>
      </c>
      <c r="AC73" s="1">
        <v>61691.760000000009</v>
      </c>
      <c r="AD73" s="1">
        <v>13.604889600000003</v>
      </c>
      <c r="AE73" s="1">
        <v>2</v>
      </c>
      <c r="AF73" s="1">
        <v>12.155062500000001</v>
      </c>
      <c r="AG73" s="1" t="s">
        <v>56</v>
      </c>
      <c r="AH73" s="1">
        <v>2</v>
      </c>
    </row>
    <row r="74" spans="1:34" x14ac:dyDescent="0.25">
      <c r="A74" t="s">
        <v>91</v>
      </c>
      <c r="B74">
        <v>105</v>
      </c>
      <c r="C74">
        <v>6</v>
      </c>
      <c r="D74" t="s">
        <v>41</v>
      </c>
      <c r="E74" t="s">
        <v>64</v>
      </c>
      <c r="F74" t="s">
        <v>65</v>
      </c>
      <c r="G74" t="s">
        <v>34</v>
      </c>
      <c r="H74" t="s">
        <v>30</v>
      </c>
      <c r="I74" t="s">
        <v>92</v>
      </c>
      <c r="J74" s="1">
        <v>204.20505000000003</v>
      </c>
      <c r="K74" s="10">
        <v>17.867941875000003</v>
      </c>
      <c r="L74" s="1">
        <v>1</v>
      </c>
      <c r="M74" s="1">
        <v>0</v>
      </c>
      <c r="N74" s="1">
        <v>0</v>
      </c>
      <c r="O74" s="1">
        <v>1</v>
      </c>
      <c r="P74" s="1">
        <v>2</v>
      </c>
      <c r="Q74" s="1">
        <v>23</v>
      </c>
      <c r="R74" s="1">
        <v>276.0202008</v>
      </c>
      <c r="S74" s="1">
        <v>0</v>
      </c>
      <c r="T74" s="1">
        <v>0</v>
      </c>
      <c r="U74" s="1">
        <v>187.69373654400002</v>
      </c>
      <c r="V74" s="1">
        <v>0</v>
      </c>
      <c r="W74" s="1">
        <v>4995.7154611200021</v>
      </c>
      <c r="X74" s="1">
        <v>3361.3999999999996</v>
      </c>
      <c r="Y74" s="1">
        <v>0</v>
      </c>
      <c r="Z74" s="1">
        <v>0</v>
      </c>
      <c r="AA74" s="1">
        <v>2285.7519999999995</v>
      </c>
      <c r="AB74" s="1">
        <v>0</v>
      </c>
      <c r="AC74" s="1">
        <v>80199.288000000015</v>
      </c>
      <c r="AD74" s="1">
        <v>14.693280768000005</v>
      </c>
      <c r="AE74" s="1">
        <v>2</v>
      </c>
      <c r="AF74" s="1">
        <v>12.762815625000002</v>
      </c>
      <c r="AG74" s="1" t="s">
        <v>56</v>
      </c>
      <c r="AH74" s="1">
        <v>2</v>
      </c>
    </row>
    <row r="75" spans="1:34" x14ac:dyDescent="0.25">
      <c r="A75" t="s">
        <v>91</v>
      </c>
      <c r="B75">
        <v>105</v>
      </c>
      <c r="C75">
        <v>7</v>
      </c>
      <c r="D75" t="s">
        <v>41</v>
      </c>
      <c r="E75" t="s">
        <v>64</v>
      </c>
      <c r="F75" t="s">
        <v>65</v>
      </c>
      <c r="G75" t="s">
        <v>34</v>
      </c>
      <c r="H75" t="s">
        <v>30</v>
      </c>
      <c r="I75" t="s">
        <v>92</v>
      </c>
      <c r="J75" s="1">
        <v>214.41530250000005</v>
      </c>
      <c r="K75" s="10">
        <v>18.761338968750003</v>
      </c>
      <c r="L75" s="1">
        <v>1</v>
      </c>
      <c r="M75" s="1">
        <v>0</v>
      </c>
      <c r="N75" s="1">
        <v>0</v>
      </c>
      <c r="O75" s="1">
        <v>1</v>
      </c>
      <c r="P75" s="1">
        <v>2</v>
      </c>
      <c r="Q75" s="1">
        <v>24</v>
      </c>
      <c r="R75" s="1">
        <v>281.54060481599998</v>
      </c>
      <c r="S75" s="1">
        <v>0</v>
      </c>
      <c r="T75" s="1">
        <v>0</v>
      </c>
      <c r="U75" s="1">
        <v>191.44761127488002</v>
      </c>
      <c r="V75" s="1">
        <v>0</v>
      </c>
      <c r="W75" s="1">
        <v>5395.3726980096026</v>
      </c>
      <c r="X75" s="1">
        <v>4705.9599999999991</v>
      </c>
      <c r="Y75" s="1">
        <v>0</v>
      </c>
      <c r="Z75" s="1">
        <v>0</v>
      </c>
      <c r="AA75" s="1">
        <v>3200.052799999999</v>
      </c>
      <c r="AB75" s="1">
        <v>0</v>
      </c>
      <c r="AC75" s="1">
        <v>104259.07440000003</v>
      </c>
      <c r="AD75" s="1">
        <v>15.868743229440007</v>
      </c>
      <c r="AE75" s="1">
        <v>2</v>
      </c>
      <c r="AF75" s="1">
        <v>13.400956406250003</v>
      </c>
      <c r="AG75" s="1" t="s">
        <v>56</v>
      </c>
      <c r="AH75" s="1">
        <v>2</v>
      </c>
    </row>
    <row r="76" spans="1:34" x14ac:dyDescent="0.25">
      <c r="A76" t="s">
        <v>91</v>
      </c>
      <c r="B76">
        <v>105</v>
      </c>
      <c r="C76">
        <v>8</v>
      </c>
      <c r="D76" t="s">
        <v>41</v>
      </c>
      <c r="E76" t="s">
        <v>64</v>
      </c>
      <c r="F76" t="s">
        <v>65</v>
      </c>
      <c r="G76" t="s">
        <v>34</v>
      </c>
      <c r="H76" t="s">
        <v>30</v>
      </c>
      <c r="I76" t="s">
        <v>92</v>
      </c>
      <c r="J76" s="1">
        <v>225.13606762500007</v>
      </c>
      <c r="K76" s="10">
        <v>19.699405917187505</v>
      </c>
      <c r="L76" s="1">
        <v>1</v>
      </c>
      <c r="M76" s="1">
        <v>0</v>
      </c>
      <c r="N76" s="1">
        <v>0</v>
      </c>
      <c r="O76" s="1">
        <v>1</v>
      </c>
      <c r="P76" s="1">
        <v>2</v>
      </c>
      <c r="Q76" s="1">
        <v>24</v>
      </c>
      <c r="R76" s="1">
        <v>287.17141691232001</v>
      </c>
      <c r="S76" s="1">
        <v>0</v>
      </c>
      <c r="T76" s="1">
        <v>0</v>
      </c>
      <c r="U76" s="1">
        <v>195.27656350037762</v>
      </c>
      <c r="V76" s="1">
        <v>0</v>
      </c>
      <c r="W76" s="1">
        <v>5827.0025138503715</v>
      </c>
      <c r="X76" s="1">
        <v>6588.3439999999982</v>
      </c>
      <c r="Y76" s="1">
        <v>0</v>
      </c>
      <c r="Z76" s="1">
        <v>0</v>
      </c>
      <c r="AA76" s="1">
        <v>4480.073919999998</v>
      </c>
      <c r="AB76" s="1">
        <v>0</v>
      </c>
      <c r="AC76" s="1">
        <v>135536.79672000004</v>
      </c>
      <c r="AD76" s="1">
        <v>17.138242687795209</v>
      </c>
      <c r="AE76" s="1">
        <v>2</v>
      </c>
      <c r="AF76" s="1">
        <v>14.071004226562504</v>
      </c>
      <c r="AG76" s="1" t="s">
        <v>56</v>
      </c>
      <c r="AH76" s="1">
        <v>2</v>
      </c>
    </row>
    <row r="77" spans="1:34" x14ac:dyDescent="0.25">
      <c r="A77" t="s">
        <v>91</v>
      </c>
      <c r="B77">
        <v>105</v>
      </c>
      <c r="C77">
        <v>9</v>
      </c>
      <c r="D77" t="s">
        <v>41</v>
      </c>
      <c r="E77" t="s">
        <v>64</v>
      </c>
      <c r="F77" t="s">
        <v>65</v>
      </c>
      <c r="G77" t="s">
        <v>34</v>
      </c>
      <c r="H77" t="s">
        <v>30</v>
      </c>
      <c r="I77" t="s">
        <v>92</v>
      </c>
      <c r="J77" s="1">
        <v>236.39287100625009</v>
      </c>
      <c r="K77" s="10">
        <v>20.684376213046882</v>
      </c>
      <c r="L77" s="1">
        <v>1</v>
      </c>
      <c r="M77" s="1">
        <v>0</v>
      </c>
      <c r="N77" s="1">
        <v>0</v>
      </c>
      <c r="O77" s="1">
        <v>1</v>
      </c>
      <c r="P77" s="1">
        <v>2</v>
      </c>
      <c r="Q77" s="1">
        <v>25</v>
      </c>
      <c r="R77" s="1">
        <v>292.91484525056643</v>
      </c>
      <c r="S77" s="1">
        <v>0</v>
      </c>
      <c r="T77" s="1">
        <v>0</v>
      </c>
      <c r="U77" s="1">
        <v>199.18209477038516</v>
      </c>
      <c r="V77" s="1">
        <v>0</v>
      </c>
      <c r="W77" s="1">
        <v>6293.1627149584019</v>
      </c>
      <c r="X77" s="1">
        <v>9223.6815999999963</v>
      </c>
      <c r="Y77" s="1">
        <v>0</v>
      </c>
      <c r="Z77" s="1">
        <v>0</v>
      </c>
      <c r="AA77" s="1">
        <v>6272.103487999997</v>
      </c>
      <c r="AB77" s="1">
        <v>0</v>
      </c>
      <c r="AC77" s="1">
        <v>176197.83573600007</v>
      </c>
      <c r="AD77" s="1">
        <v>18.509302102818829</v>
      </c>
      <c r="AE77" s="1">
        <v>2</v>
      </c>
      <c r="AF77" s="1">
        <v>14.774554437890631</v>
      </c>
      <c r="AG77" s="1" t="s">
        <v>56</v>
      </c>
      <c r="AH77" s="1">
        <v>2</v>
      </c>
    </row>
    <row r="78" spans="1:34" x14ac:dyDescent="0.25">
      <c r="A78" t="s">
        <v>91</v>
      </c>
      <c r="B78">
        <v>105</v>
      </c>
      <c r="C78">
        <v>10</v>
      </c>
      <c r="D78" t="s">
        <v>41</v>
      </c>
      <c r="E78" t="s">
        <v>64</v>
      </c>
      <c r="F78" t="s">
        <v>65</v>
      </c>
      <c r="G78" t="s">
        <v>34</v>
      </c>
      <c r="H78" t="s">
        <v>30</v>
      </c>
      <c r="I78" t="s">
        <v>92</v>
      </c>
      <c r="J78" s="1">
        <v>248.21251455656261</v>
      </c>
      <c r="K78" s="10">
        <v>21.718595023699226</v>
      </c>
      <c r="L78" s="1">
        <v>1</v>
      </c>
      <c r="M78" s="1">
        <v>0</v>
      </c>
      <c r="N78" s="1">
        <v>0</v>
      </c>
      <c r="O78" s="1">
        <v>1</v>
      </c>
      <c r="P78" s="1">
        <v>2</v>
      </c>
      <c r="Q78" s="1">
        <v>26</v>
      </c>
      <c r="R78" s="1">
        <v>298.77314215557777</v>
      </c>
      <c r="S78" s="1">
        <v>0</v>
      </c>
      <c r="T78" s="1">
        <v>0</v>
      </c>
      <c r="U78" s="1">
        <v>203.16573666579288</v>
      </c>
      <c r="V78" s="1">
        <v>0</v>
      </c>
      <c r="W78" s="1">
        <v>6796.6157321550745</v>
      </c>
      <c r="X78" s="1">
        <v>12913.154239999994</v>
      </c>
      <c r="Y78" s="1">
        <v>0</v>
      </c>
      <c r="Z78" s="1">
        <v>0</v>
      </c>
      <c r="AA78" s="1">
        <v>8780.9448831999944</v>
      </c>
      <c r="AB78" s="1">
        <v>0</v>
      </c>
      <c r="AC78" s="1">
        <v>229057.18645680009</v>
      </c>
      <c r="AD78" s="1">
        <v>19.990046271044335</v>
      </c>
      <c r="AE78" s="1">
        <v>2</v>
      </c>
      <c r="AF78" s="1">
        <v>15.513282159785163</v>
      </c>
      <c r="AG78" s="1" t="s">
        <v>56</v>
      </c>
      <c r="AH78" s="1">
        <v>2</v>
      </c>
    </row>
    <row r="80" spans="1:34" x14ac:dyDescent="0.25">
      <c r="A80" t="s">
        <v>98</v>
      </c>
      <c r="B80">
        <v>106</v>
      </c>
      <c r="C80">
        <v>1</v>
      </c>
      <c r="D80" t="s">
        <v>41</v>
      </c>
      <c r="E80" t="s">
        <v>59</v>
      </c>
      <c r="F80" t="s">
        <v>65</v>
      </c>
      <c r="G80" t="s">
        <v>39</v>
      </c>
      <c r="H80" t="s">
        <v>30</v>
      </c>
      <c r="I80" t="s">
        <v>99</v>
      </c>
      <c r="J80" s="1">
        <v>280</v>
      </c>
      <c r="K80" s="10">
        <v>10</v>
      </c>
      <c r="L80" s="1">
        <v>1</v>
      </c>
      <c r="M80" s="1">
        <v>0</v>
      </c>
      <c r="N80" s="1">
        <v>0</v>
      </c>
      <c r="O80" s="1">
        <v>2</v>
      </c>
      <c r="P80" s="1">
        <v>3</v>
      </c>
      <c r="Q80" s="1">
        <v>15</v>
      </c>
      <c r="R80" s="1">
        <v>300</v>
      </c>
      <c r="S80" s="1">
        <v>40</v>
      </c>
      <c r="T80" s="1">
        <v>0</v>
      </c>
      <c r="U80" s="1">
        <v>280</v>
      </c>
      <c r="V80" s="1">
        <v>0</v>
      </c>
      <c r="W80" s="1">
        <v>3800</v>
      </c>
      <c r="X80" s="1">
        <v>750</v>
      </c>
      <c r="Y80" s="1">
        <v>100</v>
      </c>
      <c r="Z80" s="1">
        <v>0</v>
      </c>
      <c r="AA80" s="1">
        <v>700</v>
      </c>
      <c r="AB80" s="1">
        <v>0</v>
      </c>
      <c r="AC80" s="1">
        <v>21600</v>
      </c>
      <c r="AD80" s="1">
        <v>10</v>
      </c>
      <c r="AE80" s="1">
        <v>2</v>
      </c>
      <c r="AF80" s="1">
        <v>40</v>
      </c>
      <c r="AG80" s="1" t="s">
        <v>56</v>
      </c>
      <c r="AH80" s="1">
        <v>2</v>
      </c>
    </row>
    <row r="81" spans="1:34" x14ac:dyDescent="0.25">
      <c r="A81" t="s">
        <v>98</v>
      </c>
      <c r="B81">
        <v>106</v>
      </c>
      <c r="C81">
        <v>2</v>
      </c>
      <c r="D81" t="s">
        <v>41</v>
      </c>
      <c r="E81" t="s">
        <v>59</v>
      </c>
      <c r="F81" t="s">
        <v>65</v>
      </c>
      <c r="G81" t="s">
        <v>39</v>
      </c>
      <c r="H81" t="s">
        <v>30</v>
      </c>
      <c r="I81" t="s">
        <v>99</v>
      </c>
      <c r="J81" s="1">
        <v>294</v>
      </c>
      <c r="K81" s="10">
        <v>10.5</v>
      </c>
      <c r="L81" s="1">
        <v>1</v>
      </c>
      <c r="M81" s="1">
        <v>0</v>
      </c>
      <c r="N81" s="1">
        <v>0</v>
      </c>
      <c r="O81" s="1">
        <v>2</v>
      </c>
      <c r="P81" s="1">
        <v>3</v>
      </c>
      <c r="Q81" s="1">
        <v>15</v>
      </c>
      <c r="R81" s="1">
        <v>306</v>
      </c>
      <c r="S81" s="1">
        <v>40.799999999999997</v>
      </c>
      <c r="T81" s="1">
        <v>0</v>
      </c>
      <c r="U81" s="1">
        <v>285.60000000000002</v>
      </c>
      <c r="V81" s="1">
        <v>0</v>
      </c>
      <c r="W81" s="1">
        <v>4104</v>
      </c>
      <c r="X81" s="1">
        <v>1050</v>
      </c>
      <c r="Y81" s="1">
        <v>140</v>
      </c>
      <c r="Z81" s="1">
        <v>0</v>
      </c>
      <c r="AA81" s="1">
        <v>979.99999999999989</v>
      </c>
      <c r="AB81" s="1">
        <v>0</v>
      </c>
      <c r="AC81" s="1">
        <v>28080</v>
      </c>
      <c r="AD81" s="1">
        <v>10.8</v>
      </c>
      <c r="AE81" s="1">
        <v>2</v>
      </c>
      <c r="AF81" s="1">
        <v>42</v>
      </c>
      <c r="AG81" s="1" t="s">
        <v>56</v>
      </c>
      <c r="AH81" s="1">
        <v>2</v>
      </c>
    </row>
    <row r="82" spans="1:34" x14ac:dyDescent="0.25">
      <c r="A82" t="s">
        <v>98</v>
      </c>
      <c r="B82">
        <v>106</v>
      </c>
      <c r="C82">
        <v>3</v>
      </c>
      <c r="D82" t="s">
        <v>41</v>
      </c>
      <c r="E82" t="s">
        <v>59</v>
      </c>
      <c r="F82" t="s">
        <v>65</v>
      </c>
      <c r="G82" t="s">
        <v>39</v>
      </c>
      <c r="H82" t="s">
        <v>30</v>
      </c>
      <c r="I82" t="s">
        <v>99</v>
      </c>
      <c r="J82" s="1">
        <v>308.7</v>
      </c>
      <c r="K82" s="10">
        <v>11.025</v>
      </c>
      <c r="L82" s="1">
        <v>1</v>
      </c>
      <c r="M82" s="1">
        <v>0</v>
      </c>
      <c r="N82" s="1">
        <v>0</v>
      </c>
      <c r="O82" s="1">
        <v>2</v>
      </c>
      <c r="P82" s="1">
        <v>3</v>
      </c>
      <c r="Q82" s="1">
        <v>16</v>
      </c>
      <c r="R82" s="1">
        <v>312.12</v>
      </c>
      <c r="S82" s="1">
        <v>41.616</v>
      </c>
      <c r="T82" s="1">
        <v>0</v>
      </c>
      <c r="U82" s="1">
        <v>291.31200000000001</v>
      </c>
      <c r="V82" s="1">
        <v>0</v>
      </c>
      <c r="W82" s="1">
        <v>4432.3200000000006</v>
      </c>
      <c r="X82" s="1">
        <v>1470</v>
      </c>
      <c r="Y82" s="1">
        <v>196</v>
      </c>
      <c r="Z82" s="1">
        <v>0</v>
      </c>
      <c r="AA82" s="1">
        <v>1371.9999999999998</v>
      </c>
      <c r="AB82" s="1">
        <v>0</v>
      </c>
      <c r="AC82" s="1">
        <v>36504</v>
      </c>
      <c r="AD82" s="1">
        <v>11.664000000000001</v>
      </c>
      <c r="AE82" s="1">
        <v>2</v>
      </c>
      <c r="AF82" s="1">
        <v>44.1</v>
      </c>
      <c r="AG82" s="1" t="s">
        <v>56</v>
      </c>
      <c r="AH82" s="1">
        <v>2</v>
      </c>
    </row>
    <row r="83" spans="1:34" x14ac:dyDescent="0.25">
      <c r="A83" t="s">
        <v>98</v>
      </c>
      <c r="B83">
        <v>106</v>
      </c>
      <c r="C83">
        <v>4</v>
      </c>
      <c r="D83" t="s">
        <v>41</v>
      </c>
      <c r="E83" t="s">
        <v>59</v>
      </c>
      <c r="F83" t="s">
        <v>65</v>
      </c>
      <c r="G83" t="s">
        <v>39</v>
      </c>
      <c r="H83" t="s">
        <v>30</v>
      </c>
      <c r="I83" t="s">
        <v>99</v>
      </c>
      <c r="J83" s="1">
        <v>324.13499999999999</v>
      </c>
      <c r="K83" s="10">
        <v>11.576250000000002</v>
      </c>
      <c r="L83" s="1">
        <v>1</v>
      </c>
      <c r="M83" s="1">
        <v>0</v>
      </c>
      <c r="N83" s="1">
        <v>0</v>
      </c>
      <c r="O83" s="1">
        <v>2</v>
      </c>
      <c r="P83" s="1">
        <v>3</v>
      </c>
      <c r="Q83" s="1">
        <v>16</v>
      </c>
      <c r="R83" s="1">
        <v>318.36240000000004</v>
      </c>
      <c r="S83" s="1">
        <v>42.448320000000002</v>
      </c>
      <c r="T83" s="1">
        <v>0</v>
      </c>
      <c r="U83" s="1">
        <v>297.13824</v>
      </c>
      <c r="V83" s="1">
        <v>0</v>
      </c>
      <c r="W83" s="1">
        <v>4786.905600000001</v>
      </c>
      <c r="X83" s="1">
        <v>2058</v>
      </c>
      <c r="Y83" s="1">
        <v>274.39999999999998</v>
      </c>
      <c r="Z83" s="1">
        <v>0</v>
      </c>
      <c r="AA83" s="1">
        <v>1920.7999999999995</v>
      </c>
      <c r="AB83" s="1">
        <v>0</v>
      </c>
      <c r="AC83" s="1">
        <v>47455.200000000004</v>
      </c>
      <c r="AD83" s="1">
        <v>12.597120000000002</v>
      </c>
      <c r="AE83" s="1">
        <v>2</v>
      </c>
      <c r="AF83" s="1">
        <v>46.305000000000007</v>
      </c>
      <c r="AG83" s="1" t="s">
        <v>56</v>
      </c>
      <c r="AH83" s="1">
        <v>2</v>
      </c>
    </row>
    <row r="84" spans="1:34" x14ac:dyDescent="0.25">
      <c r="A84" t="s">
        <v>98</v>
      </c>
      <c r="B84">
        <v>106</v>
      </c>
      <c r="C84">
        <v>5</v>
      </c>
      <c r="D84" t="s">
        <v>41</v>
      </c>
      <c r="E84" t="s">
        <v>59</v>
      </c>
      <c r="F84" t="s">
        <v>65</v>
      </c>
      <c r="G84" t="s">
        <v>39</v>
      </c>
      <c r="H84" t="s">
        <v>30</v>
      </c>
      <c r="I84" t="s">
        <v>99</v>
      </c>
      <c r="J84" s="1">
        <v>340.34174999999999</v>
      </c>
      <c r="K84" s="10">
        <v>12.155062500000001</v>
      </c>
      <c r="L84" s="1">
        <v>1</v>
      </c>
      <c r="M84" s="1">
        <v>0</v>
      </c>
      <c r="N84" s="1">
        <v>0</v>
      </c>
      <c r="O84" s="1">
        <v>2</v>
      </c>
      <c r="P84" s="1">
        <v>3</v>
      </c>
      <c r="Q84" s="1">
        <v>17</v>
      </c>
      <c r="R84" s="1">
        <v>324.72964800000005</v>
      </c>
      <c r="S84" s="1">
        <v>43.297286400000004</v>
      </c>
      <c r="T84" s="1">
        <v>0</v>
      </c>
      <c r="U84" s="1">
        <v>303.08100480000002</v>
      </c>
      <c r="V84" s="1">
        <v>0</v>
      </c>
      <c r="W84" s="1">
        <v>5169.858048000001</v>
      </c>
      <c r="X84" s="1">
        <v>2881.2</v>
      </c>
      <c r="Y84" s="1">
        <v>384.15999999999997</v>
      </c>
      <c r="Z84" s="1">
        <v>0</v>
      </c>
      <c r="AA84" s="1">
        <v>2689.119999999999</v>
      </c>
      <c r="AB84" s="1">
        <v>0</v>
      </c>
      <c r="AC84" s="1">
        <v>61691.760000000009</v>
      </c>
      <c r="AD84" s="1">
        <v>13.604889600000003</v>
      </c>
      <c r="AE84" s="1">
        <v>2</v>
      </c>
      <c r="AF84" s="1">
        <v>48.620250000000006</v>
      </c>
      <c r="AG84" s="1" t="s">
        <v>56</v>
      </c>
      <c r="AH84" s="1">
        <v>2</v>
      </c>
    </row>
    <row r="85" spans="1:34" x14ac:dyDescent="0.25">
      <c r="A85" t="s">
        <v>98</v>
      </c>
      <c r="B85">
        <v>106</v>
      </c>
      <c r="C85">
        <v>6</v>
      </c>
      <c r="D85" t="s">
        <v>41</v>
      </c>
      <c r="E85" t="s">
        <v>59</v>
      </c>
      <c r="F85" t="s">
        <v>65</v>
      </c>
      <c r="G85" t="s">
        <v>39</v>
      </c>
      <c r="H85" t="s">
        <v>30</v>
      </c>
      <c r="I85" t="s">
        <v>99</v>
      </c>
      <c r="J85" s="1">
        <v>357.35883749999999</v>
      </c>
      <c r="K85" s="10">
        <v>12.762815625000002</v>
      </c>
      <c r="L85" s="1">
        <v>1</v>
      </c>
      <c r="M85" s="1">
        <v>0</v>
      </c>
      <c r="N85" s="1">
        <v>0</v>
      </c>
      <c r="O85" s="1">
        <v>2</v>
      </c>
      <c r="P85" s="1">
        <v>3</v>
      </c>
      <c r="Q85" s="1">
        <v>17</v>
      </c>
      <c r="R85" s="1">
        <v>331.22424096000009</v>
      </c>
      <c r="S85" s="1">
        <v>44.163232128000004</v>
      </c>
      <c r="T85" s="1">
        <v>0</v>
      </c>
      <c r="U85" s="1">
        <v>309.14262489600003</v>
      </c>
      <c r="V85" s="1">
        <v>0</v>
      </c>
      <c r="W85" s="1">
        <v>5583.4466918400012</v>
      </c>
      <c r="X85" s="1">
        <v>4033.6799999999994</v>
      </c>
      <c r="Y85" s="1">
        <v>537.82399999999996</v>
      </c>
      <c r="Z85" s="1">
        <v>0</v>
      </c>
      <c r="AA85" s="1">
        <v>3764.7679999999982</v>
      </c>
      <c r="AB85" s="1">
        <v>0</v>
      </c>
      <c r="AC85" s="1">
        <v>80199.288000000015</v>
      </c>
      <c r="AD85" s="1">
        <v>14.693280768000005</v>
      </c>
      <c r="AE85" s="1">
        <v>2</v>
      </c>
      <c r="AF85" s="1">
        <v>51.051262500000007</v>
      </c>
      <c r="AG85" s="1" t="s">
        <v>56</v>
      </c>
      <c r="AH85" s="1">
        <v>2</v>
      </c>
    </row>
    <row r="86" spans="1:34" x14ac:dyDescent="0.25">
      <c r="A86" t="s">
        <v>98</v>
      </c>
      <c r="B86">
        <v>106</v>
      </c>
      <c r="C86">
        <v>7</v>
      </c>
      <c r="D86" t="s">
        <v>41</v>
      </c>
      <c r="E86" t="s">
        <v>59</v>
      </c>
      <c r="F86" t="s">
        <v>65</v>
      </c>
      <c r="G86" t="s">
        <v>39</v>
      </c>
      <c r="H86" t="s">
        <v>30</v>
      </c>
      <c r="I86" t="s">
        <v>99</v>
      </c>
      <c r="J86" s="1">
        <v>375.22677937500004</v>
      </c>
      <c r="K86" s="10">
        <v>13.400956406250003</v>
      </c>
      <c r="L86" s="1">
        <v>1</v>
      </c>
      <c r="M86" s="1">
        <v>0</v>
      </c>
      <c r="N86" s="1">
        <v>0</v>
      </c>
      <c r="O86" s="1">
        <v>2</v>
      </c>
      <c r="P86" s="1">
        <v>3</v>
      </c>
      <c r="Q86" s="1">
        <v>18</v>
      </c>
      <c r="R86" s="1">
        <v>337.84872577920009</v>
      </c>
      <c r="S86" s="1">
        <v>45.046496770560005</v>
      </c>
      <c r="T86" s="1">
        <v>0</v>
      </c>
      <c r="U86" s="1">
        <v>315.32547739392004</v>
      </c>
      <c r="V86" s="1">
        <v>0</v>
      </c>
      <c r="W86" s="1">
        <v>6030.1224271872015</v>
      </c>
      <c r="X86" s="1">
        <v>5647.1519999999991</v>
      </c>
      <c r="Y86" s="1">
        <v>752.95359999999994</v>
      </c>
      <c r="Z86" s="1">
        <v>0</v>
      </c>
      <c r="AA86" s="1">
        <v>5270.6751999999969</v>
      </c>
      <c r="AB86" s="1">
        <v>0</v>
      </c>
      <c r="AC86" s="1">
        <v>104259.07440000003</v>
      </c>
      <c r="AD86" s="1">
        <v>15.868743229440007</v>
      </c>
      <c r="AE86" s="1">
        <v>2</v>
      </c>
      <c r="AF86" s="1">
        <v>53.603825625000013</v>
      </c>
      <c r="AG86" s="1" t="s">
        <v>56</v>
      </c>
      <c r="AH86" s="1">
        <v>2</v>
      </c>
    </row>
    <row r="87" spans="1:34" x14ac:dyDescent="0.25">
      <c r="A87" t="s">
        <v>98</v>
      </c>
      <c r="B87">
        <v>106</v>
      </c>
      <c r="C87">
        <v>8</v>
      </c>
      <c r="D87" t="s">
        <v>41</v>
      </c>
      <c r="E87" t="s">
        <v>59</v>
      </c>
      <c r="F87" t="s">
        <v>65</v>
      </c>
      <c r="G87" t="s">
        <v>39</v>
      </c>
      <c r="H87" t="s">
        <v>30</v>
      </c>
      <c r="I87" t="s">
        <v>99</v>
      </c>
      <c r="J87" s="1">
        <v>393.98811834375005</v>
      </c>
      <c r="K87" s="10">
        <v>14.071004226562504</v>
      </c>
      <c r="L87" s="1">
        <v>1</v>
      </c>
      <c r="M87" s="1">
        <v>0</v>
      </c>
      <c r="N87" s="1">
        <v>0</v>
      </c>
      <c r="O87" s="1">
        <v>2</v>
      </c>
      <c r="P87" s="1">
        <v>3</v>
      </c>
      <c r="Q87" s="1">
        <v>18</v>
      </c>
      <c r="R87" s="1">
        <v>344.60570029478413</v>
      </c>
      <c r="S87" s="1">
        <v>45.947426705971203</v>
      </c>
      <c r="T87" s="1">
        <v>0</v>
      </c>
      <c r="U87" s="1">
        <v>321.63198694179846</v>
      </c>
      <c r="V87" s="1">
        <v>0</v>
      </c>
      <c r="W87" s="1">
        <v>6512.5322213621785</v>
      </c>
      <c r="X87" s="1">
        <v>7906.0127999999986</v>
      </c>
      <c r="Y87" s="1">
        <v>1054.1350399999999</v>
      </c>
      <c r="Z87" s="1">
        <v>0</v>
      </c>
      <c r="AA87" s="1">
        <v>7378.9452799999954</v>
      </c>
      <c r="AB87" s="1">
        <v>0</v>
      </c>
      <c r="AC87" s="1">
        <v>135536.79672000004</v>
      </c>
      <c r="AD87" s="1">
        <v>17.138242687795209</v>
      </c>
      <c r="AE87" s="1">
        <v>2</v>
      </c>
      <c r="AF87" s="1">
        <v>56.284016906250017</v>
      </c>
      <c r="AG87" s="1" t="s">
        <v>56</v>
      </c>
      <c r="AH87" s="1">
        <v>2</v>
      </c>
    </row>
    <row r="88" spans="1:34" x14ac:dyDescent="0.25">
      <c r="A88" t="s">
        <v>98</v>
      </c>
      <c r="B88">
        <v>106</v>
      </c>
      <c r="C88">
        <v>9</v>
      </c>
      <c r="D88" t="s">
        <v>41</v>
      </c>
      <c r="E88" t="s">
        <v>59</v>
      </c>
      <c r="F88" t="s">
        <v>65</v>
      </c>
      <c r="G88" t="s">
        <v>39</v>
      </c>
      <c r="H88" t="s">
        <v>30</v>
      </c>
      <c r="I88" t="s">
        <v>99</v>
      </c>
      <c r="J88" s="1">
        <v>413.68752426093755</v>
      </c>
      <c r="K88" s="10">
        <v>14.774554437890631</v>
      </c>
      <c r="L88" s="1">
        <v>1</v>
      </c>
      <c r="M88" s="1">
        <v>0</v>
      </c>
      <c r="N88" s="1">
        <v>0</v>
      </c>
      <c r="O88" s="1">
        <v>2</v>
      </c>
      <c r="P88" s="1">
        <v>3</v>
      </c>
      <c r="Q88" s="1">
        <v>19</v>
      </c>
      <c r="R88" s="1">
        <v>351.49781430067981</v>
      </c>
      <c r="S88" s="1">
        <v>46.866375240090626</v>
      </c>
      <c r="T88" s="1">
        <v>0</v>
      </c>
      <c r="U88" s="1">
        <v>328.06462668063443</v>
      </c>
      <c r="V88" s="1">
        <v>0</v>
      </c>
      <c r="W88" s="1">
        <v>7033.5347990711534</v>
      </c>
      <c r="X88" s="1">
        <v>11068.417919999998</v>
      </c>
      <c r="Y88" s="1">
        <v>1475.7890559999998</v>
      </c>
      <c r="Z88" s="1">
        <v>0</v>
      </c>
      <c r="AA88" s="1">
        <v>10330.523391999994</v>
      </c>
      <c r="AB88" s="1">
        <v>0</v>
      </c>
      <c r="AC88" s="1">
        <v>176197.83573600007</v>
      </c>
      <c r="AD88" s="1">
        <v>18.509302102818829</v>
      </c>
      <c r="AE88" s="1">
        <v>2</v>
      </c>
      <c r="AF88" s="1">
        <v>59.098217751562522</v>
      </c>
      <c r="AG88" s="1" t="s">
        <v>56</v>
      </c>
      <c r="AH88" s="1">
        <v>2</v>
      </c>
    </row>
    <row r="89" spans="1:34" x14ac:dyDescent="0.25">
      <c r="A89" t="s">
        <v>98</v>
      </c>
      <c r="B89">
        <v>106</v>
      </c>
      <c r="C89">
        <v>10</v>
      </c>
      <c r="D89" t="s">
        <v>41</v>
      </c>
      <c r="E89" t="s">
        <v>59</v>
      </c>
      <c r="F89" t="s">
        <v>65</v>
      </c>
      <c r="G89" t="s">
        <v>39</v>
      </c>
      <c r="H89" t="s">
        <v>30</v>
      </c>
      <c r="I89" t="s">
        <v>99</v>
      </c>
      <c r="J89" s="1">
        <v>434.37190047398445</v>
      </c>
      <c r="K89" s="10">
        <v>15.513282159785163</v>
      </c>
      <c r="L89" s="1">
        <v>1</v>
      </c>
      <c r="M89" s="1">
        <v>0</v>
      </c>
      <c r="N89" s="1">
        <v>0</v>
      </c>
      <c r="O89" s="1">
        <v>2</v>
      </c>
      <c r="P89" s="1">
        <v>3</v>
      </c>
      <c r="Q89" s="1">
        <v>20</v>
      </c>
      <c r="R89" s="1">
        <v>358.52777058669341</v>
      </c>
      <c r="S89" s="1">
        <v>47.803702744892441</v>
      </c>
      <c r="T89" s="1">
        <v>0</v>
      </c>
      <c r="U89" s="1">
        <v>334.62591921424712</v>
      </c>
      <c r="V89" s="1">
        <v>0</v>
      </c>
      <c r="W89" s="1">
        <v>7596.2175829968464</v>
      </c>
      <c r="X89" s="1">
        <v>15495.785087999997</v>
      </c>
      <c r="Y89" s="1">
        <v>2066.1046783999996</v>
      </c>
      <c r="Z89" s="1">
        <v>0</v>
      </c>
      <c r="AA89" s="1">
        <v>14462.73274879999</v>
      </c>
      <c r="AB89" s="1">
        <v>0</v>
      </c>
      <c r="AC89" s="1">
        <v>229057.18645680009</v>
      </c>
      <c r="AD89" s="1">
        <v>19.990046271044335</v>
      </c>
      <c r="AE89" s="1">
        <v>2</v>
      </c>
      <c r="AF89" s="1">
        <v>62.053128639140652</v>
      </c>
      <c r="AG89" s="1" t="s">
        <v>56</v>
      </c>
      <c r="AH89" s="1">
        <v>2</v>
      </c>
    </row>
    <row r="91" spans="1:34" x14ac:dyDescent="0.25">
      <c r="A91" t="s">
        <v>66</v>
      </c>
      <c r="B91">
        <v>107</v>
      </c>
      <c r="C91">
        <v>1</v>
      </c>
      <c r="D91" t="s">
        <v>37</v>
      </c>
      <c r="E91" t="s">
        <v>59</v>
      </c>
      <c r="F91" t="s">
        <v>67</v>
      </c>
      <c r="G91" t="s">
        <v>68</v>
      </c>
      <c r="H91" t="s">
        <v>30</v>
      </c>
      <c r="I91" t="s">
        <v>44</v>
      </c>
      <c r="J91" s="1">
        <v>400</v>
      </c>
      <c r="K91" s="10">
        <v>12</v>
      </c>
      <c r="L91" s="1">
        <v>5</v>
      </c>
      <c r="M91" s="1">
        <v>0</v>
      </c>
      <c r="N91" s="1">
        <v>0</v>
      </c>
      <c r="O91" s="1">
        <v>3</v>
      </c>
      <c r="P91" s="1">
        <v>1</v>
      </c>
      <c r="Q91" s="1">
        <v>1</v>
      </c>
      <c r="R91" s="1">
        <v>150</v>
      </c>
      <c r="S91" s="1">
        <v>400</v>
      </c>
      <c r="T91" s="1">
        <v>0</v>
      </c>
      <c r="U91" s="1">
        <v>750</v>
      </c>
      <c r="V91" s="1">
        <v>2</v>
      </c>
      <c r="W91" s="1">
        <v>8400</v>
      </c>
      <c r="X91" s="1">
        <v>600</v>
      </c>
      <c r="Y91" s="1">
        <v>1600</v>
      </c>
      <c r="Z91" s="1">
        <v>0</v>
      </c>
      <c r="AA91" s="1">
        <v>3000</v>
      </c>
      <c r="AB91" s="1">
        <v>0</v>
      </c>
      <c r="AC91" s="1">
        <v>28800</v>
      </c>
      <c r="AD91" s="1">
        <v>4</v>
      </c>
      <c r="AE91" s="1">
        <v>4</v>
      </c>
      <c r="AF91" s="1">
        <v>60</v>
      </c>
      <c r="AG91" s="1" t="s">
        <v>106</v>
      </c>
      <c r="AH91" s="1">
        <v>4</v>
      </c>
    </row>
    <row r="92" spans="1:34" x14ac:dyDescent="0.25">
      <c r="A92" t="s">
        <v>66</v>
      </c>
      <c r="B92">
        <v>107</v>
      </c>
      <c r="C92">
        <v>2</v>
      </c>
      <c r="D92" t="s">
        <v>37</v>
      </c>
      <c r="E92" t="s">
        <v>59</v>
      </c>
      <c r="F92" t="s">
        <v>67</v>
      </c>
      <c r="G92" t="s">
        <v>68</v>
      </c>
      <c r="H92" t="s">
        <v>30</v>
      </c>
      <c r="I92" t="s">
        <v>44</v>
      </c>
      <c r="J92" s="1">
        <v>420</v>
      </c>
      <c r="K92" s="10">
        <v>12.600000000000001</v>
      </c>
      <c r="L92" s="1">
        <v>5</v>
      </c>
      <c r="M92" s="1">
        <v>0</v>
      </c>
      <c r="N92" s="1">
        <v>0</v>
      </c>
      <c r="O92" s="1">
        <v>3</v>
      </c>
      <c r="P92" s="1">
        <v>1</v>
      </c>
      <c r="Q92" s="1">
        <v>1</v>
      </c>
      <c r="R92" s="1">
        <v>153</v>
      </c>
      <c r="S92" s="1">
        <v>408</v>
      </c>
      <c r="T92" s="1">
        <v>0</v>
      </c>
      <c r="U92" s="1">
        <v>765</v>
      </c>
      <c r="V92" s="1">
        <v>2</v>
      </c>
      <c r="W92" s="1">
        <v>8820</v>
      </c>
      <c r="X92" s="1">
        <v>720</v>
      </c>
      <c r="Y92" s="1">
        <v>1920</v>
      </c>
      <c r="Z92" s="1">
        <v>0</v>
      </c>
      <c r="AA92" s="1">
        <v>3600</v>
      </c>
      <c r="AB92" s="1">
        <v>0</v>
      </c>
      <c r="AC92" s="1">
        <v>37440</v>
      </c>
      <c r="AD92" s="1">
        <v>4.32</v>
      </c>
      <c r="AE92" s="1">
        <v>4</v>
      </c>
      <c r="AF92" s="1">
        <v>63</v>
      </c>
      <c r="AG92" s="1" t="s">
        <v>106</v>
      </c>
      <c r="AH92" s="1">
        <v>4</v>
      </c>
    </row>
    <row r="93" spans="1:34" x14ac:dyDescent="0.25">
      <c r="A93" t="s">
        <v>66</v>
      </c>
      <c r="B93">
        <v>107</v>
      </c>
      <c r="C93">
        <v>3</v>
      </c>
      <c r="D93" t="s">
        <v>37</v>
      </c>
      <c r="E93" t="s">
        <v>59</v>
      </c>
      <c r="F93" t="s">
        <v>67</v>
      </c>
      <c r="G93" t="s">
        <v>68</v>
      </c>
      <c r="H93" t="s">
        <v>30</v>
      </c>
      <c r="I93" t="s">
        <v>44</v>
      </c>
      <c r="J93" s="1">
        <v>441</v>
      </c>
      <c r="K93" s="10">
        <v>13.230000000000002</v>
      </c>
      <c r="L93" s="1">
        <v>5</v>
      </c>
      <c r="M93" s="1">
        <v>0</v>
      </c>
      <c r="N93" s="1">
        <v>0</v>
      </c>
      <c r="O93" s="1">
        <v>3</v>
      </c>
      <c r="P93" s="1">
        <v>1</v>
      </c>
      <c r="Q93" s="1">
        <v>2</v>
      </c>
      <c r="R93" s="1">
        <v>156.06</v>
      </c>
      <c r="S93" s="1">
        <v>416.16</v>
      </c>
      <c r="T93" s="1">
        <v>0</v>
      </c>
      <c r="U93" s="1">
        <v>780.30000000000007</v>
      </c>
      <c r="V93" s="1">
        <v>2</v>
      </c>
      <c r="W93" s="1">
        <v>9261</v>
      </c>
      <c r="X93" s="1">
        <v>864</v>
      </c>
      <c r="Y93" s="1">
        <v>2304</v>
      </c>
      <c r="Z93" s="1">
        <v>0</v>
      </c>
      <c r="AA93" s="1">
        <v>4320</v>
      </c>
      <c r="AB93" s="1">
        <v>0</v>
      </c>
      <c r="AC93" s="1">
        <v>48672</v>
      </c>
      <c r="AD93" s="1">
        <v>4.6656000000000004</v>
      </c>
      <c r="AE93" s="1">
        <v>4</v>
      </c>
      <c r="AF93" s="1">
        <v>66.150000000000006</v>
      </c>
      <c r="AG93" s="1" t="s">
        <v>106</v>
      </c>
      <c r="AH93" s="1">
        <v>4</v>
      </c>
    </row>
    <row r="94" spans="1:34" x14ac:dyDescent="0.25">
      <c r="A94" t="s">
        <v>66</v>
      </c>
      <c r="B94">
        <v>107</v>
      </c>
      <c r="C94">
        <v>4</v>
      </c>
      <c r="D94" t="s">
        <v>37</v>
      </c>
      <c r="E94" t="s">
        <v>59</v>
      </c>
      <c r="F94" t="s">
        <v>67</v>
      </c>
      <c r="G94" t="s">
        <v>68</v>
      </c>
      <c r="H94" t="s">
        <v>30</v>
      </c>
      <c r="I94" t="s">
        <v>44</v>
      </c>
      <c r="J94" s="1">
        <v>463.05</v>
      </c>
      <c r="K94" s="10">
        <v>13.891500000000002</v>
      </c>
      <c r="L94" s="1">
        <v>5</v>
      </c>
      <c r="M94" s="1">
        <v>0</v>
      </c>
      <c r="N94" s="1">
        <v>0</v>
      </c>
      <c r="O94" s="1">
        <v>3</v>
      </c>
      <c r="P94" s="1">
        <v>1</v>
      </c>
      <c r="Q94" s="1">
        <v>2</v>
      </c>
      <c r="R94" s="1">
        <v>159.18120000000002</v>
      </c>
      <c r="S94" s="1">
        <v>424.48320000000001</v>
      </c>
      <c r="T94" s="1">
        <v>0</v>
      </c>
      <c r="U94" s="1">
        <v>795.90600000000006</v>
      </c>
      <c r="V94" s="1">
        <v>2</v>
      </c>
      <c r="W94" s="1">
        <v>9724.0500000000011</v>
      </c>
      <c r="X94" s="1">
        <v>1036.8</v>
      </c>
      <c r="Y94" s="1">
        <v>2764.7999999999997</v>
      </c>
      <c r="Z94" s="1">
        <v>0</v>
      </c>
      <c r="AA94" s="1">
        <v>5184</v>
      </c>
      <c r="AB94" s="1">
        <v>0</v>
      </c>
      <c r="AC94" s="1">
        <v>63273.599999999999</v>
      </c>
      <c r="AD94" s="1">
        <v>5.0388480000000007</v>
      </c>
      <c r="AE94" s="1">
        <v>4</v>
      </c>
      <c r="AF94" s="1">
        <v>69.45750000000001</v>
      </c>
      <c r="AG94" s="1" t="s">
        <v>106</v>
      </c>
      <c r="AH94" s="1">
        <v>4</v>
      </c>
    </row>
    <row r="95" spans="1:34" x14ac:dyDescent="0.25">
      <c r="A95" t="s">
        <v>66</v>
      </c>
      <c r="B95">
        <v>107</v>
      </c>
      <c r="C95">
        <v>5</v>
      </c>
      <c r="D95" t="s">
        <v>37</v>
      </c>
      <c r="E95" t="s">
        <v>59</v>
      </c>
      <c r="F95" t="s">
        <v>67</v>
      </c>
      <c r="G95" t="s">
        <v>68</v>
      </c>
      <c r="H95" t="s">
        <v>30</v>
      </c>
      <c r="I95" t="s">
        <v>44</v>
      </c>
      <c r="J95" s="1">
        <v>486.20250000000004</v>
      </c>
      <c r="K95" s="10">
        <v>14.586075000000003</v>
      </c>
      <c r="L95" s="1">
        <v>5</v>
      </c>
      <c r="M95" s="1">
        <v>0</v>
      </c>
      <c r="N95" s="1">
        <v>0</v>
      </c>
      <c r="O95" s="1">
        <v>3</v>
      </c>
      <c r="P95" s="1">
        <v>1</v>
      </c>
      <c r="Q95" s="1">
        <v>3</v>
      </c>
      <c r="R95" s="1">
        <v>162.36482400000003</v>
      </c>
      <c r="S95" s="1">
        <v>432.97286400000002</v>
      </c>
      <c r="T95" s="1">
        <v>0</v>
      </c>
      <c r="U95" s="1">
        <v>811.82412000000011</v>
      </c>
      <c r="V95" s="1">
        <v>2</v>
      </c>
      <c r="W95" s="1">
        <v>10210.252500000002</v>
      </c>
      <c r="X95" s="1">
        <v>1244.1599999999999</v>
      </c>
      <c r="Y95" s="1">
        <v>3317.7599999999998</v>
      </c>
      <c r="Z95" s="1">
        <v>0</v>
      </c>
      <c r="AA95" s="1">
        <v>6220.8</v>
      </c>
      <c r="AB95" s="1">
        <v>0</v>
      </c>
      <c r="AC95" s="1">
        <v>82255.680000000008</v>
      </c>
      <c r="AD95" s="1">
        <v>5.4419558400000012</v>
      </c>
      <c r="AE95" s="1">
        <v>4</v>
      </c>
      <c r="AF95" s="1">
        <v>72.930375000000012</v>
      </c>
      <c r="AG95" s="1" t="s">
        <v>106</v>
      </c>
      <c r="AH95" s="1">
        <v>4</v>
      </c>
    </row>
    <row r="96" spans="1:34" x14ac:dyDescent="0.25">
      <c r="A96" t="s">
        <v>66</v>
      </c>
      <c r="B96">
        <v>107</v>
      </c>
      <c r="C96">
        <v>6</v>
      </c>
      <c r="D96" t="s">
        <v>37</v>
      </c>
      <c r="E96" t="s">
        <v>59</v>
      </c>
      <c r="F96" t="s">
        <v>67</v>
      </c>
      <c r="G96" t="s">
        <v>68</v>
      </c>
      <c r="H96" t="s">
        <v>30</v>
      </c>
      <c r="I96" t="s">
        <v>44</v>
      </c>
      <c r="J96" s="1">
        <v>510.51262500000007</v>
      </c>
      <c r="K96" s="10">
        <v>15.315378750000004</v>
      </c>
      <c r="L96" s="1">
        <v>5</v>
      </c>
      <c r="M96" s="1">
        <v>0</v>
      </c>
      <c r="N96" s="1">
        <v>0</v>
      </c>
      <c r="O96" s="1">
        <v>3</v>
      </c>
      <c r="P96" s="1">
        <v>1</v>
      </c>
      <c r="Q96" s="1">
        <v>3</v>
      </c>
      <c r="R96" s="1">
        <v>165.61212048000004</v>
      </c>
      <c r="S96" s="1">
        <v>441.63232128000004</v>
      </c>
      <c r="T96" s="1">
        <v>0</v>
      </c>
      <c r="U96" s="1">
        <v>828.06060240000011</v>
      </c>
      <c r="V96" s="1">
        <v>2</v>
      </c>
      <c r="W96" s="1">
        <v>10720.765125000004</v>
      </c>
      <c r="X96" s="1">
        <v>1492.9919999999997</v>
      </c>
      <c r="Y96" s="1">
        <v>3981.3119999999994</v>
      </c>
      <c r="Z96" s="1">
        <v>0</v>
      </c>
      <c r="AA96" s="1">
        <v>7464.96</v>
      </c>
      <c r="AB96" s="1">
        <v>0</v>
      </c>
      <c r="AC96" s="1">
        <v>106932.38400000002</v>
      </c>
      <c r="AD96" s="1">
        <v>5.8773123072000013</v>
      </c>
      <c r="AE96" s="1">
        <v>4</v>
      </c>
      <c r="AF96" s="1">
        <v>76.576893750000011</v>
      </c>
      <c r="AG96" s="1" t="s">
        <v>106</v>
      </c>
      <c r="AH96" s="1">
        <v>4</v>
      </c>
    </row>
    <row r="97" spans="1:34" x14ac:dyDescent="0.25">
      <c r="A97" t="s">
        <v>66</v>
      </c>
      <c r="B97">
        <v>107</v>
      </c>
      <c r="C97">
        <v>7</v>
      </c>
      <c r="D97" t="s">
        <v>37</v>
      </c>
      <c r="E97" t="s">
        <v>59</v>
      </c>
      <c r="F97" t="s">
        <v>67</v>
      </c>
      <c r="G97" t="s">
        <v>68</v>
      </c>
      <c r="H97" t="s">
        <v>30</v>
      </c>
      <c r="I97" t="s">
        <v>44</v>
      </c>
      <c r="J97" s="1">
        <v>536.03825625000013</v>
      </c>
      <c r="K97" s="10">
        <v>16.081147687500007</v>
      </c>
      <c r="L97" s="1">
        <v>5</v>
      </c>
      <c r="M97" s="1">
        <v>0</v>
      </c>
      <c r="N97" s="1">
        <v>0</v>
      </c>
      <c r="O97" s="1">
        <v>3</v>
      </c>
      <c r="P97" s="1">
        <v>1</v>
      </c>
      <c r="Q97" s="1">
        <v>4</v>
      </c>
      <c r="R97" s="1">
        <v>168.92436288960005</v>
      </c>
      <c r="S97" s="1">
        <v>450.46496770560003</v>
      </c>
      <c r="T97" s="1">
        <v>0</v>
      </c>
      <c r="U97" s="1">
        <v>844.62181444800012</v>
      </c>
      <c r="V97" s="1">
        <v>2</v>
      </c>
      <c r="W97" s="1">
        <v>11256.803381250003</v>
      </c>
      <c r="X97" s="1">
        <v>1791.5903999999996</v>
      </c>
      <c r="Y97" s="1">
        <v>4777.5743999999995</v>
      </c>
      <c r="Z97" s="1">
        <v>0</v>
      </c>
      <c r="AA97" s="1">
        <v>8957.9519999999993</v>
      </c>
      <c r="AB97" s="1">
        <v>0</v>
      </c>
      <c r="AC97" s="1">
        <v>139012.09920000003</v>
      </c>
      <c r="AD97" s="1">
        <v>6.3474972917760022</v>
      </c>
      <c r="AE97" s="1">
        <v>4</v>
      </c>
      <c r="AF97" s="1">
        <v>80.40573843750002</v>
      </c>
      <c r="AG97" s="1" t="s">
        <v>106</v>
      </c>
      <c r="AH97" s="1">
        <v>4</v>
      </c>
    </row>
    <row r="98" spans="1:34" x14ac:dyDescent="0.25">
      <c r="A98" t="s">
        <v>66</v>
      </c>
      <c r="B98">
        <v>107</v>
      </c>
      <c r="C98">
        <v>8</v>
      </c>
      <c r="D98" t="s">
        <v>37</v>
      </c>
      <c r="E98" t="s">
        <v>59</v>
      </c>
      <c r="F98" t="s">
        <v>67</v>
      </c>
      <c r="G98" t="s">
        <v>68</v>
      </c>
      <c r="H98" t="s">
        <v>30</v>
      </c>
      <c r="I98" t="s">
        <v>44</v>
      </c>
      <c r="J98" s="1">
        <v>562.84016906250019</v>
      </c>
      <c r="K98" s="10">
        <v>16.885205071875006</v>
      </c>
      <c r="L98" s="1">
        <v>5</v>
      </c>
      <c r="M98" s="1">
        <v>0</v>
      </c>
      <c r="N98" s="1">
        <v>0</v>
      </c>
      <c r="O98" s="1">
        <v>3</v>
      </c>
      <c r="P98" s="1">
        <v>1</v>
      </c>
      <c r="Q98" s="1">
        <v>4</v>
      </c>
      <c r="R98" s="1">
        <v>172.30285014739206</v>
      </c>
      <c r="S98" s="1">
        <v>459.47426705971202</v>
      </c>
      <c r="T98" s="1">
        <v>0</v>
      </c>
      <c r="U98" s="1">
        <v>861.51425073696009</v>
      </c>
      <c r="V98" s="1">
        <v>2</v>
      </c>
      <c r="W98" s="1">
        <v>11819.643550312505</v>
      </c>
      <c r="X98" s="1">
        <v>2149.9084799999996</v>
      </c>
      <c r="Y98" s="1">
        <v>5733.0892799999992</v>
      </c>
      <c r="Z98" s="1">
        <v>0</v>
      </c>
      <c r="AA98" s="1">
        <v>10749.542399999998</v>
      </c>
      <c r="AB98" s="1">
        <v>0</v>
      </c>
      <c r="AC98" s="1">
        <v>180715.72896000004</v>
      </c>
      <c r="AD98" s="1">
        <v>6.8552970751180826</v>
      </c>
      <c r="AE98" s="1">
        <v>4</v>
      </c>
      <c r="AF98" s="1">
        <v>84.426025359375018</v>
      </c>
      <c r="AG98" s="1" t="s">
        <v>106</v>
      </c>
      <c r="AH98" s="1">
        <v>4</v>
      </c>
    </row>
    <row r="99" spans="1:34" x14ac:dyDescent="0.25">
      <c r="A99" t="s">
        <v>66</v>
      </c>
      <c r="B99">
        <v>107</v>
      </c>
      <c r="C99">
        <v>9</v>
      </c>
      <c r="D99" t="s">
        <v>37</v>
      </c>
      <c r="E99" t="s">
        <v>59</v>
      </c>
      <c r="F99" t="s">
        <v>67</v>
      </c>
      <c r="G99" t="s">
        <v>68</v>
      </c>
      <c r="H99" t="s">
        <v>30</v>
      </c>
      <c r="I99" t="s">
        <v>44</v>
      </c>
      <c r="J99" s="1">
        <v>590.98217751562527</v>
      </c>
      <c r="K99" s="10">
        <v>17.729465325468759</v>
      </c>
      <c r="L99" s="1">
        <v>5</v>
      </c>
      <c r="M99" s="1">
        <v>0</v>
      </c>
      <c r="N99" s="1">
        <v>0</v>
      </c>
      <c r="O99" s="1">
        <v>3</v>
      </c>
      <c r="P99" s="1">
        <v>1</v>
      </c>
      <c r="Q99" s="1">
        <v>5</v>
      </c>
      <c r="R99" s="1">
        <v>175.7489071503399</v>
      </c>
      <c r="S99" s="1">
        <v>468.66375240090628</v>
      </c>
      <c r="T99" s="1">
        <v>0</v>
      </c>
      <c r="U99" s="1">
        <v>878.74453575169935</v>
      </c>
      <c r="V99" s="1">
        <v>2</v>
      </c>
      <c r="W99" s="1">
        <v>12410.62572782813</v>
      </c>
      <c r="X99" s="1">
        <v>2579.8901759999994</v>
      </c>
      <c r="Y99" s="1">
        <v>6879.7071359999991</v>
      </c>
      <c r="Z99" s="1">
        <v>0</v>
      </c>
      <c r="AA99" s="1">
        <v>12899.450879999999</v>
      </c>
      <c r="AB99" s="1">
        <v>0</v>
      </c>
      <c r="AC99" s="1">
        <v>234930.44764800006</v>
      </c>
      <c r="AD99" s="1">
        <v>7.4037208411275302</v>
      </c>
      <c r="AE99" s="1">
        <v>4</v>
      </c>
      <c r="AF99" s="1">
        <v>88.647326627343773</v>
      </c>
      <c r="AG99" s="1" t="s">
        <v>106</v>
      </c>
      <c r="AH99" s="1">
        <v>4</v>
      </c>
    </row>
    <row r="100" spans="1:34" x14ac:dyDescent="0.25">
      <c r="A100" t="s">
        <v>66</v>
      </c>
      <c r="B100">
        <v>107</v>
      </c>
      <c r="C100">
        <v>10</v>
      </c>
      <c r="D100" t="s">
        <v>37</v>
      </c>
      <c r="E100" t="s">
        <v>59</v>
      </c>
      <c r="F100" t="s">
        <v>67</v>
      </c>
      <c r="G100" t="s">
        <v>68</v>
      </c>
      <c r="H100" t="s">
        <v>30</v>
      </c>
      <c r="I100" t="s">
        <v>44</v>
      </c>
      <c r="J100" s="1">
        <v>620.53128639140652</v>
      </c>
      <c r="K100" s="10">
        <v>18.615938591742196</v>
      </c>
      <c r="L100" s="1">
        <v>5</v>
      </c>
      <c r="M100" s="1">
        <v>0</v>
      </c>
      <c r="N100" s="1">
        <v>0</v>
      </c>
      <c r="O100" s="1">
        <v>3</v>
      </c>
      <c r="P100" s="1">
        <v>1</v>
      </c>
      <c r="Q100" s="1">
        <v>6</v>
      </c>
      <c r="R100" s="1">
        <v>179.2638852933467</v>
      </c>
      <c r="S100" s="1">
        <v>478.03702744892439</v>
      </c>
      <c r="T100" s="1">
        <v>0</v>
      </c>
      <c r="U100" s="1">
        <v>896.31942646673338</v>
      </c>
      <c r="V100" s="1">
        <v>2</v>
      </c>
      <c r="W100" s="1">
        <v>13031.157014219538</v>
      </c>
      <c r="X100" s="1">
        <v>3095.8682111999992</v>
      </c>
      <c r="Y100" s="1">
        <v>8255.6485631999985</v>
      </c>
      <c r="Z100" s="1">
        <v>0</v>
      </c>
      <c r="AA100" s="1">
        <v>15479.341055999997</v>
      </c>
      <c r="AB100" s="1">
        <v>0</v>
      </c>
      <c r="AC100" s="1">
        <v>305409.58194240008</v>
      </c>
      <c r="AD100" s="1">
        <v>7.9960185084177331</v>
      </c>
      <c r="AE100" s="1">
        <v>4</v>
      </c>
      <c r="AF100" s="1">
        <v>93.079692958710964</v>
      </c>
      <c r="AG100" s="1" t="s">
        <v>106</v>
      </c>
      <c r="AH100" s="1">
        <v>4</v>
      </c>
    </row>
    <row r="102" spans="1:34" x14ac:dyDescent="0.25">
      <c r="A102" t="s">
        <v>69</v>
      </c>
      <c r="B102">
        <v>108</v>
      </c>
      <c r="C102">
        <v>1</v>
      </c>
      <c r="D102" t="s">
        <v>70</v>
      </c>
      <c r="E102" t="s">
        <v>64</v>
      </c>
      <c r="F102" t="s">
        <v>67</v>
      </c>
      <c r="G102" t="s">
        <v>43</v>
      </c>
      <c r="H102" t="s">
        <v>30</v>
      </c>
      <c r="I102" t="s">
        <v>45</v>
      </c>
      <c r="J102" s="1">
        <v>800</v>
      </c>
      <c r="K102" s="10">
        <v>25</v>
      </c>
      <c r="L102" s="1">
        <v>2</v>
      </c>
      <c r="M102" s="1">
        <v>0</v>
      </c>
      <c r="N102" s="1">
        <v>0</v>
      </c>
      <c r="O102" s="1">
        <v>3</v>
      </c>
      <c r="P102" s="1">
        <v>3</v>
      </c>
      <c r="Q102" s="1">
        <v>1</v>
      </c>
      <c r="R102" s="1">
        <v>180</v>
      </c>
      <c r="S102" s="1">
        <v>240</v>
      </c>
      <c r="T102" s="1">
        <v>150</v>
      </c>
      <c r="U102" s="1">
        <v>1000</v>
      </c>
      <c r="V102" s="1">
        <v>3</v>
      </c>
      <c r="W102" s="1">
        <v>12500</v>
      </c>
      <c r="X102" s="1">
        <v>720</v>
      </c>
      <c r="Y102" s="1">
        <v>960</v>
      </c>
      <c r="Z102" s="1">
        <v>600</v>
      </c>
      <c r="AA102" s="1">
        <v>4000</v>
      </c>
      <c r="AB102" s="1">
        <v>0</v>
      </c>
      <c r="AC102" s="1">
        <v>28800</v>
      </c>
      <c r="AD102" s="1">
        <v>4</v>
      </c>
      <c r="AE102" s="1">
        <v>5</v>
      </c>
      <c r="AF102" s="1">
        <v>0</v>
      </c>
      <c r="AG102" s="1" t="s">
        <v>106</v>
      </c>
      <c r="AH102" s="1">
        <v>5</v>
      </c>
    </row>
    <row r="103" spans="1:34" x14ac:dyDescent="0.25">
      <c r="A103" t="s">
        <v>69</v>
      </c>
      <c r="B103">
        <v>108</v>
      </c>
      <c r="C103">
        <v>2</v>
      </c>
      <c r="D103" t="s">
        <v>70</v>
      </c>
      <c r="E103" t="s">
        <v>64</v>
      </c>
      <c r="F103" t="s">
        <v>67</v>
      </c>
      <c r="G103" t="s">
        <v>43</v>
      </c>
      <c r="H103" t="s">
        <v>30</v>
      </c>
      <c r="I103" t="s">
        <v>45</v>
      </c>
      <c r="J103" s="1">
        <v>840</v>
      </c>
      <c r="K103" s="10">
        <v>26.25</v>
      </c>
      <c r="L103" s="1">
        <v>2</v>
      </c>
      <c r="M103" s="1">
        <v>0</v>
      </c>
      <c r="N103" s="1">
        <v>0</v>
      </c>
      <c r="O103" s="1">
        <v>3</v>
      </c>
      <c r="P103" s="1">
        <v>3</v>
      </c>
      <c r="Q103" s="1">
        <v>1</v>
      </c>
      <c r="R103" s="1">
        <v>183.6</v>
      </c>
      <c r="S103" s="1">
        <v>244.8</v>
      </c>
      <c r="T103" s="1">
        <v>153</v>
      </c>
      <c r="U103" s="1">
        <v>1020</v>
      </c>
      <c r="V103" s="1">
        <v>3</v>
      </c>
      <c r="W103" s="1">
        <v>13125</v>
      </c>
      <c r="X103" s="1">
        <v>864</v>
      </c>
      <c r="Y103" s="1">
        <v>1152</v>
      </c>
      <c r="Z103" s="1">
        <v>720</v>
      </c>
      <c r="AA103" s="1">
        <v>4800</v>
      </c>
      <c r="AB103" s="1">
        <v>0</v>
      </c>
      <c r="AC103" s="1">
        <v>37440</v>
      </c>
      <c r="AD103" s="1">
        <v>4.32</v>
      </c>
      <c r="AE103" s="1">
        <v>5</v>
      </c>
      <c r="AF103" s="1">
        <v>0</v>
      </c>
      <c r="AG103" s="1" t="s">
        <v>106</v>
      </c>
      <c r="AH103" s="1">
        <v>5</v>
      </c>
    </row>
    <row r="104" spans="1:34" x14ac:dyDescent="0.25">
      <c r="A104" t="s">
        <v>69</v>
      </c>
      <c r="B104">
        <v>108</v>
      </c>
      <c r="C104">
        <v>3</v>
      </c>
      <c r="D104" t="s">
        <v>70</v>
      </c>
      <c r="E104" t="s">
        <v>64</v>
      </c>
      <c r="F104" t="s">
        <v>67</v>
      </c>
      <c r="G104" t="s">
        <v>43</v>
      </c>
      <c r="H104" t="s">
        <v>30</v>
      </c>
      <c r="I104" t="s">
        <v>45</v>
      </c>
      <c r="J104" s="1">
        <v>882</v>
      </c>
      <c r="K104" s="10">
        <v>27.5625</v>
      </c>
      <c r="L104" s="1">
        <v>2</v>
      </c>
      <c r="M104" s="1">
        <v>0</v>
      </c>
      <c r="N104" s="1">
        <v>0</v>
      </c>
      <c r="O104" s="1">
        <v>3</v>
      </c>
      <c r="P104" s="1">
        <v>3</v>
      </c>
      <c r="Q104" s="1">
        <v>2</v>
      </c>
      <c r="R104" s="1">
        <v>187.27199999999999</v>
      </c>
      <c r="S104" s="1">
        <v>249.69600000000003</v>
      </c>
      <c r="T104" s="1">
        <v>156.06</v>
      </c>
      <c r="U104" s="1">
        <v>1040.4000000000001</v>
      </c>
      <c r="V104" s="1">
        <v>3</v>
      </c>
      <c r="W104" s="1">
        <v>13781.25</v>
      </c>
      <c r="X104" s="1">
        <v>1036.8</v>
      </c>
      <c r="Y104" s="1">
        <v>1382.3999999999999</v>
      </c>
      <c r="Z104" s="1">
        <v>864</v>
      </c>
      <c r="AA104" s="1">
        <v>5760</v>
      </c>
      <c r="AB104" s="1">
        <v>0</v>
      </c>
      <c r="AC104" s="1">
        <v>48672</v>
      </c>
      <c r="AD104" s="1">
        <v>4.6656000000000004</v>
      </c>
      <c r="AE104" s="1">
        <v>5</v>
      </c>
      <c r="AF104" s="1">
        <v>0</v>
      </c>
      <c r="AG104" s="1" t="s">
        <v>106</v>
      </c>
      <c r="AH104" s="1">
        <v>5</v>
      </c>
    </row>
    <row r="105" spans="1:34" x14ac:dyDescent="0.25">
      <c r="A105" t="s">
        <v>69</v>
      </c>
      <c r="B105">
        <v>108</v>
      </c>
      <c r="C105">
        <v>4</v>
      </c>
      <c r="D105" t="s">
        <v>70</v>
      </c>
      <c r="E105" t="s">
        <v>64</v>
      </c>
      <c r="F105" t="s">
        <v>67</v>
      </c>
      <c r="G105" t="s">
        <v>43</v>
      </c>
      <c r="H105" t="s">
        <v>30</v>
      </c>
      <c r="I105" t="s">
        <v>45</v>
      </c>
      <c r="J105" s="1">
        <v>926.1</v>
      </c>
      <c r="K105" s="10">
        <v>28.940625000000001</v>
      </c>
      <c r="L105" s="1">
        <v>2</v>
      </c>
      <c r="M105" s="1">
        <v>0</v>
      </c>
      <c r="N105" s="1">
        <v>0</v>
      </c>
      <c r="O105" s="1">
        <v>3</v>
      </c>
      <c r="P105" s="1">
        <v>3</v>
      </c>
      <c r="Q105" s="1">
        <v>2</v>
      </c>
      <c r="R105" s="1">
        <v>191.01743999999999</v>
      </c>
      <c r="S105" s="1">
        <v>254.68992000000003</v>
      </c>
      <c r="T105" s="1">
        <v>159.18120000000002</v>
      </c>
      <c r="U105" s="1">
        <v>1061.2080000000001</v>
      </c>
      <c r="V105" s="1">
        <v>3</v>
      </c>
      <c r="W105" s="1">
        <v>14470.3125</v>
      </c>
      <c r="X105" s="1">
        <v>1244.1599999999999</v>
      </c>
      <c r="Y105" s="1">
        <v>1658.8799999999999</v>
      </c>
      <c r="Z105" s="1">
        <v>1036.8</v>
      </c>
      <c r="AA105" s="1">
        <v>6912</v>
      </c>
      <c r="AB105" s="1">
        <v>0</v>
      </c>
      <c r="AC105" s="1">
        <v>63273.599999999999</v>
      </c>
      <c r="AD105" s="1">
        <v>5.0388480000000007</v>
      </c>
      <c r="AE105" s="1">
        <v>5</v>
      </c>
      <c r="AF105" s="1">
        <v>0</v>
      </c>
      <c r="AG105" s="1" t="s">
        <v>106</v>
      </c>
      <c r="AH105" s="1">
        <v>5</v>
      </c>
    </row>
    <row r="106" spans="1:34" x14ac:dyDescent="0.25">
      <c r="A106" t="s">
        <v>69</v>
      </c>
      <c r="B106">
        <v>108</v>
      </c>
      <c r="C106">
        <v>5</v>
      </c>
      <c r="D106" t="s">
        <v>70</v>
      </c>
      <c r="E106" t="s">
        <v>64</v>
      </c>
      <c r="F106" t="s">
        <v>67</v>
      </c>
      <c r="G106" t="s">
        <v>43</v>
      </c>
      <c r="H106" t="s">
        <v>30</v>
      </c>
      <c r="I106" t="s">
        <v>45</v>
      </c>
      <c r="J106" s="1">
        <v>972.40500000000009</v>
      </c>
      <c r="K106" s="10">
        <v>30.387656250000003</v>
      </c>
      <c r="L106" s="1">
        <v>2</v>
      </c>
      <c r="M106" s="1">
        <v>0</v>
      </c>
      <c r="N106" s="1">
        <v>0</v>
      </c>
      <c r="O106" s="1">
        <v>3</v>
      </c>
      <c r="P106" s="1">
        <v>3</v>
      </c>
      <c r="Q106" s="1">
        <v>3</v>
      </c>
      <c r="R106" s="1">
        <v>194.8377888</v>
      </c>
      <c r="S106" s="1">
        <v>259.78371840000005</v>
      </c>
      <c r="T106" s="1">
        <v>162.36482400000003</v>
      </c>
      <c r="U106" s="1">
        <v>1082.4321600000001</v>
      </c>
      <c r="V106" s="1">
        <v>3</v>
      </c>
      <c r="W106" s="1">
        <v>15193.828125</v>
      </c>
      <c r="X106" s="1">
        <v>1492.9919999999997</v>
      </c>
      <c r="Y106" s="1">
        <v>1990.6559999999997</v>
      </c>
      <c r="Z106" s="1">
        <v>1244.1599999999999</v>
      </c>
      <c r="AA106" s="1">
        <v>8294.4</v>
      </c>
      <c r="AB106" s="1">
        <v>0</v>
      </c>
      <c r="AC106" s="1">
        <v>82255.680000000008</v>
      </c>
      <c r="AD106" s="1">
        <v>5.4419558400000012</v>
      </c>
      <c r="AE106" s="1">
        <v>5</v>
      </c>
      <c r="AF106" s="1">
        <v>0</v>
      </c>
      <c r="AG106" s="1" t="s">
        <v>106</v>
      </c>
      <c r="AH106" s="1">
        <v>5</v>
      </c>
    </row>
    <row r="107" spans="1:34" x14ac:dyDescent="0.25">
      <c r="A107" t="s">
        <v>69</v>
      </c>
      <c r="B107">
        <v>108</v>
      </c>
      <c r="C107">
        <v>6</v>
      </c>
      <c r="D107" t="s">
        <v>70</v>
      </c>
      <c r="E107" t="s">
        <v>64</v>
      </c>
      <c r="F107" t="s">
        <v>67</v>
      </c>
      <c r="G107" t="s">
        <v>43</v>
      </c>
      <c r="H107" t="s">
        <v>30</v>
      </c>
      <c r="I107" t="s">
        <v>45</v>
      </c>
      <c r="J107" s="1">
        <v>1021.0252500000001</v>
      </c>
      <c r="K107" s="10">
        <v>31.907039062500004</v>
      </c>
      <c r="L107" s="1">
        <v>2</v>
      </c>
      <c r="M107" s="1">
        <v>0</v>
      </c>
      <c r="N107" s="1">
        <v>0</v>
      </c>
      <c r="O107" s="1">
        <v>3</v>
      </c>
      <c r="P107" s="1">
        <v>3</v>
      </c>
      <c r="Q107" s="1">
        <v>3</v>
      </c>
      <c r="R107" s="1">
        <v>198.73454457599999</v>
      </c>
      <c r="S107" s="1">
        <v>264.97939276800008</v>
      </c>
      <c r="T107" s="1">
        <v>165.61212048000004</v>
      </c>
      <c r="U107" s="1">
        <v>1104.0808032</v>
      </c>
      <c r="V107" s="1">
        <v>3</v>
      </c>
      <c r="W107" s="1">
        <v>15953.51953125</v>
      </c>
      <c r="X107" s="1">
        <v>1791.5903999999996</v>
      </c>
      <c r="Y107" s="1">
        <v>2388.7871999999998</v>
      </c>
      <c r="Z107" s="1">
        <v>1492.9919999999997</v>
      </c>
      <c r="AA107" s="1">
        <v>9953.2799999999988</v>
      </c>
      <c r="AB107" s="1">
        <v>0</v>
      </c>
      <c r="AC107" s="1">
        <v>106932.38400000002</v>
      </c>
      <c r="AD107" s="1">
        <v>5.8773123072000013</v>
      </c>
      <c r="AE107" s="1">
        <v>5</v>
      </c>
      <c r="AF107" s="1">
        <v>0</v>
      </c>
      <c r="AG107" s="1" t="s">
        <v>106</v>
      </c>
      <c r="AH107" s="1">
        <v>5</v>
      </c>
    </row>
    <row r="108" spans="1:34" x14ac:dyDescent="0.25">
      <c r="A108" t="s">
        <v>69</v>
      </c>
      <c r="B108">
        <v>108</v>
      </c>
      <c r="C108">
        <v>7</v>
      </c>
      <c r="D108" t="s">
        <v>70</v>
      </c>
      <c r="E108" t="s">
        <v>64</v>
      </c>
      <c r="F108" t="s">
        <v>67</v>
      </c>
      <c r="G108" t="s">
        <v>43</v>
      </c>
      <c r="H108" t="s">
        <v>30</v>
      </c>
      <c r="I108" t="s">
        <v>45</v>
      </c>
      <c r="J108" s="1">
        <v>1072.0765125000003</v>
      </c>
      <c r="K108" s="10">
        <v>33.502391015625008</v>
      </c>
      <c r="L108" s="1">
        <v>2</v>
      </c>
      <c r="M108" s="1">
        <v>0</v>
      </c>
      <c r="N108" s="1">
        <v>0</v>
      </c>
      <c r="O108" s="1">
        <v>3</v>
      </c>
      <c r="P108" s="1">
        <v>3</v>
      </c>
      <c r="Q108" s="1">
        <v>4</v>
      </c>
      <c r="R108" s="1">
        <v>202.70923546751999</v>
      </c>
      <c r="S108" s="1">
        <v>270.2789806233601</v>
      </c>
      <c r="T108" s="1">
        <v>168.92436288960005</v>
      </c>
      <c r="U108" s="1">
        <v>1126.1624192639999</v>
      </c>
      <c r="V108" s="1">
        <v>3</v>
      </c>
      <c r="W108" s="1">
        <v>16751.195507812499</v>
      </c>
      <c r="X108" s="1">
        <v>2149.9084799999996</v>
      </c>
      <c r="Y108" s="1">
        <v>2866.5446399999996</v>
      </c>
      <c r="Z108" s="1">
        <v>1791.5903999999996</v>
      </c>
      <c r="AA108" s="1">
        <v>11943.935999999998</v>
      </c>
      <c r="AB108" s="1">
        <v>0</v>
      </c>
      <c r="AC108" s="1">
        <v>139012.09920000003</v>
      </c>
      <c r="AD108" s="1">
        <v>6.3474972917760022</v>
      </c>
      <c r="AE108" s="1">
        <v>5</v>
      </c>
      <c r="AF108" s="1">
        <v>0</v>
      </c>
      <c r="AG108" s="1" t="s">
        <v>106</v>
      </c>
      <c r="AH108" s="1">
        <v>5</v>
      </c>
    </row>
    <row r="109" spans="1:34" x14ac:dyDescent="0.25">
      <c r="A109" t="s">
        <v>69</v>
      </c>
      <c r="B109">
        <v>108</v>
      </c>
      <c r="C109">
        <v>8</v>
      </c>
      <c r="D109" t="s">
        <v>70</v>
      </c>
      <c r="E109" t="s">
        <v>64</v>
      </c>
      <c r="F109" t="s">
        <v>67</v>
      </c>
      <c r="G109" t="s">
        <v>43</v>
      </c>
      <c r="H109" t="s">
        <v>30</v>
      </c>
      <c r="I109" t="s">
        <v>45</v>
      </c>
      <c r="J109" s="1">
        <v>1125.6803381250004</v>
      </c>
      <c r="K109" s="10">
        <v>35.177510566406262</v>
      </c>
      <c r="L109" s="1">
        <v>2</v>
      </c>
      <c r="M109" s="1">
        <v>0</v>
      </c>
      <c r="N109" s="1">
        <v>0</v>
      </c>
      <c r="O109" s="1">
        <v>3</v>
      </c>
      <c r="P109" s="1">
        <v>3</v>
      </c>
      <c r="Q109" s="1">
        <v>4</v>
      </c>
      <c r="R109" s="1">
        <v>206.7634201768704</v>
      </c>
      <c r="S109" s="1">
        <v>275.68456023582729</v>
      </c>
      <c r="T109" s="1">
        <v>172.30285014739206</v>
      </c>
      <c r="U109" s="1">
        <v>1148.68566764928</v>
      </c>
      <c r="V109" s="1">
        <v>3</v>
      </c>
      <c r="W109" s="1">
        <v>17588.755283203125</v>
      </c>
      <c r="X109" s="1">
        <v>2579.8901759999994</v>
      </c>
      <c r="Y109" s="1">
        <v>3439.8535679999995</v>
      </c>
      <c r="Z109" s="1">
        <v>2149.9084799999996</v>
      </c>
      <c r="AA109" s="1">
        <v>14332.723199999997</v>
      </c>
      <c r="AB109" s="1">
        <v>0</v>
      </c>
      <c r="AC109" s="1">
        <v>180715.72896000004</v>
      </c>
      <c r="AD109" s="1">
        <v>6.8552970751180826</v>
      </c>
      <c r="AE109" s="1">
        <v>5</v>
      </c>
      <c r="AF109" s="1">
        <v>0</v>
      </c>
      <c r="AG109" s="1" t="s">
        <v>106</v>
      </c>
      <c r="AH109" s="1">
        <v>5</v>
      </c>
    </row>
    <row r="110" spans="1:34" x14ac:dyDescent="0.25">
      <c r="A110" t="s">
        <v>69</v>
      </c>
      <c r="B110">
        <v>108</v>
      </c>
      <c r="C110">
        <v>9</v>
      </c>
      <c r="D110" t="s">
        <v>70</v>
      </c>
      <c r="E110" t="s">
        <v>64</v>
      </c>
      <c r="F110" t="s">
        <v>67</v>
      </c>
      <c r="G110" t="s">
        <v>43</v>
      </c>
      <c r="H110" t="s">
        <v>30</v>
      </c>
      <c r="I110" t="s">
        <v>45</v>
      </c>
      <c r="J110" s="1">
        <v>1181.9643550312505</v>
      </c>
      <c r="K110" s="10">
        <v>36.936386094726579</v>
      </c>
      <c r="L110" s="1">
        <v>2</v>
      </c>
      <c r="M110" s="1">
        <v>0</v>
      </c>
      <c r="N110" s="1">
        <v>0</v>
      </c>
      <c r="O110" s="1">
        <v>3</v>
      </c>
      <c r="P110" s="1">
        <v>3</v>
      </c>
      <c r="Q110" s="1">
        <v>5</v>
      </c>
      <c r="R110" s="1">
        <v>210.89868858040782</v>
      </c>
      <c r="S110" s="1">
        <v>281.19825144054386</v>
      </c>
      <c r="T110" s="1">
        <v>175.7489071503399</v>
      </c>
      <c r="U110" s="1">
        <v>1171.6593810022657</v>
      </c>
      <c r="V110" s="1">
        <v>3</v>
      </c>
      <c r="W110" s="1">
        <v>18468.193047363282</v>
      </c>
      <c r="X110" s="1">
        <v>3095.8682111999992</v>
      </c>
      <c r="Y110" s="1">
        <v>4127.8242815999993</v>
      </c>
      <c r="Z110" s="1">
        <v>2579.8901759999994</v>
      </c>
      <c r="AA110" s="1">
        <v>17199.267839999997</v>
      </c>
      <c r="AB110" s="1">
        <v>0</v>
      </c>
      <c r="AC110" s="1">
        <v>234930.44764800006</v>
      </c>
      <c r="AD110" s="1">
        <v>7.4037208411275302</v>
      </c>
      <c r="AE110" s="1">
        <v>5</v>
      </c>
      <c r="AF110" s="1">
        <v>0</v>
      </c>
      <c r="AG110" s="1" t="s">
        <v>106</v>
      </c>
      <c r="AH110" s="1">
        <v>5</v>
      </c>
    </row>
    <row r="111" spans="1:34" x14ac:dyDescent="0.25">
      <c r="A111" t="s">
        <v>69</v>
      </c>
      <c r="B111">
        <v>108</v>
      </c>
      <c r="C111">
        <v>10</v>
      </c>
      <c r="D111" t="s">
        <v>70</v>
      </c>
      <c r="E111" t="s">
        <v>64</v>
      </c>
      <c r="F111" t="s">
        <v>67</v>
      </c>
      <c r="G111" t="s">
        <v>43</v>
      </c>
      <c r="H111" t="s">
        <v>30</v>
      </c>
      <c r="I111" t="s">
        <v>45</v>
      </c>
      <c r="J111" s="1">
        <v>1241.062572782813</v>
      </c>
      <c r="K111" s="10">
        <v>38.783205399462908</v>
      </c>
      <c r="L111" s="1">
        <v>2</v>
      </c>
      <c r="M111" s="1">
        <v>0</v>
      </c>
      <c r="N111" s="1">
        <v>0</v>
      </c>
      <c r="O111" s="1">
        <v>3</v>
      </c>
      <c r="P111" s="1">
        <v>3</v>
      </c>
      <c r="Q111" s="1">
        <v>6</v>
      </c>
      <c r="R111" s="1">
        <v>215.11666235201599</v>
      </c>
      <c r="S111" s="1">
        <v>286.82221646935471</v>
      </c>
      <c r="T111" s="1">
        <v>179.2638852933467</v>
      </c>
      <c r="U111" s="1">
        <v>1195.0925686223111</v>
      </c>
      <c r="V111" s="1">
        <v>3</v>
      </c>
      <c r="W111" s="1">
        <v>19391.602699731448</v>
      </c>
      <c r="X111" s="1">
        <v>3715.0418534399987</v>
      </c>
      <c r="Y111" s="1">
        <v>4953.3891379199986</v>
      </c>
      <c r="Z111" s="1">
        <v>3095.8682111999992</v>
      </c>
      <c r="AA111" s="1">
        <v>20639.121407999995</v>
      </c>
      <c r="AB111" s="1">
        <v>0</v>
      </c>
      <c r="AC111" s="1">
        <v>305409.58194240008</v>
      </c>
      <c r="AD111" s="1">
        <v>7.9960185084177331</v>
      </c>
      <c r="AE111" s="1">
        <v>5</v>
      </c>
      <c r="AF111" s="1">
        <v>0</v>
      </c>
      <c r="AG111" s="1" t="s">
        <v>106</v>
      </c>
      <c r="AH111" s="1">
        <v>5</v>
      </c>
    </row>
    <row r="113" spans="1:34" x14ac:dyDescent="0.25">
      <c r="A113" t="s">
        <v>89</v>
      </c>
      <c r="B113">
        <v>401</v>
      </c>
      <c r="C113">
        <v>1</v>
      </c>
      <c r="D113" t="s">
        <v>29</v>
      </c>
      <c r="E113" t="s">
        <v>59</v>
      </c>
      <c r="F113" t="s">
        <v>65</v>
      </c>
      <c r="G113" t="s">
        <v>34</v>
      </c>
      <c r="H113" t="s">
        <v>30</v>
      </c>
      <c r="I113" t="s">
        <v>103</v>
      </c>
      <c r="J113" s="1">
        <v>70</v>
      </c>
      <c r="K113" s="10">
        <v>1</v>
      </c>
      <c r="L113" s="1">
        <v>1</v>
      </c>
      <c r="M113" s="1">
        <v>0</v>
      </c>
      <c r="N113" s="1">
        <v>0</v>
      </c>
      <c r="O113" s="1">
        <v>2</v>
      </c>
      <c r="P113" s="1">
        <v>1</v>
      </c>
      <c r="Q113" s="1">
        <v>10</v>
      </c>
      <c r="R113" s="1">
        <v>250</v>
      </c>
      <c r="S113" s="1">
        <v>15</v>
      </c>
      <c r="T113" s="1">
        <v>0</v>
      </c>
      <c r="U113" s="1">
        <v>100</v>
      </c>
      <c r="V113" s="1">
        <v>2</v>
      </c>
      <c r="W113" s="1">
        <v>5600</v>
      </c>
      <c r="X113" s="1">
        <v>625</v>
      </c>
      <c r="Y113" s="1">
        <v>37.5</v>
      </c>
      <c r="Z113" s="1">
        <v>0</v>
      </c>
      <c r="AA113" s="1">
        <v>250</v>
      </c>
      <c r="AB113" s="1">
        <v>0</v>
      </c>
      <c r="AC113" s="1">
        <v>21600</v>
      </c>
      <c r="AD113" s="1">
        <v>10</v>
      </c>
      <c r="AE113" s="1">
        <v>2</v>
      </c>
      <c r="AF113" s="1">
        <v>120</v>
      </c>
      <c r="AG113" s="1" t="s">
        <v>90</v>
      </c>
      <c r="AH113" s="1">
        <v>1</v>
      </c>
    </row>
    <row r="114" spans="1:34" x14ac:dyDescent="0.25">
      <c r="A114" t="s">
        <v>89</v>
      </c>
      <c r="B114">
        <v>401</v>
      </c>
      <c r="C114">
        <v>2</v>
      </c>
      <c r="D114" t="s">
        <v>29</v>
      </c>
      <c r="E114" t="s">
        <v>59</v>
      </c>
      <c r="F114" t="s">
        <v>65</v>
      </c>
      <c r="G114" t="s">
        <v>34</v>
      </c>
      <c r="H114" t="s">
        <v>30</v>
      </c>
      <c r="I114" t="s">
        <v>103</v>
      </c>
      <c r="J114" s="1">
        <v>75.600000000000009</v>
      </c>
      <c r="K114" s="10">
        <v>1.05</v>
      </c>
      <c r="L114" s="1">
        <v>1</v>
      </c>
      <c r="M114" s="1">
        <v>0</v>
      </c>
      <c r="N114" s="1">
        <v>0</v>
      </c>
      <c r="O114" s="1">
        <v>2</v>
      </c>
      <c r="P114" s="1">
        <v>1</v>
      </c>
      <c r="Q114" s="1">
        <v>10</v>
      </c>
      <c r="R114" s="1">
        <v>250</v>
      </c>
      <c r="S114" s="1">
        <v>15</v>
      </c>
      <c r="T114" s="1">
        <v>0</v>
      </c>
      <c r="U114" s="1">
        <v>100</v>
      </c>
      <c r="V114" s="1">
        <v>2</v>
      </c>
      <c r="W114" s="1">
        <v>5600</v>
      </c>
      <c r="X114" s="1">
        <v>875</v>
      </c>
      <c r="Y114" s="1">
        <v>52.5</v>
      </c>
      <c r="Z114" s="1">
        <v>0</v>
      </c>
      <c r="AA114" s="1">
        <v>350</v>
      </c>
      <c r="AB114" s="1">
        <v>0</v>
      </c>
      <c r="AC114" s="1">
        <v>28080</v>
      </c>
      <c r="AD114" s="1">
        <v>10.8</v>
      </c>
      <c r="AE114" s="1">
        <v>2</v>
      </c>
      <c r="AF114" s="1">
        <v>138</v>
      </c>
      <c r="AG114" s="1" t="s">
        <v>90</v>
      </c>
      <c r="AH114" s="1">
        <v>1</v>
      </c>
    </row>
    <row r="115" spans="1:34" x14ac:dyDescent="0.25">
      <c r="A115" t="s">
        <v>89</v>
      </c>
      <c r="B115">
        <v>401</v>
      </c>
      <c r="C115">
        <v>3</v>
      </c>
      <c r="D115" t="s">
        <v>29</v>
      </c>
      <c r="E115" t="s">
        <v>59</v>
      </c>
      <c r="F115" t="s">
        <v>65</v>
      </c>
      <c r="G115" t="s">
        <v>34</v>
      </c>
      <c r="H115" t="s">
        <v>30</v>
      </c>
      <c r="I115" t="s">
        <v>103</v>
      </c>
      <c r="J115" s="1">
        <v>81.64800000000001</v>
      </c>
      <c r="K115" s="10">
        <v>1.1025</v>
      </c>
      <c r="L115" s="1">
        <v>1</v>
      </c>
      <c r="M115" s="1">
        <v>0</v>
      </c>
      <c r="N115" s="1">
        <v>0</v>
      </c>
      <c r="O115" s="1">
        <v>2</v>
      </c>
      <c r="P115" s="1">
        <v>1</v>
      </c>
      <c r="Q115" s="1">
        <v>11</v>
      </c>
      <c r="R115" s="1">
        <v>250</v>
      </c>
      <c r="S115" s="1">
        <v>15</v>
      </c>
      <c r="T115" s="1">
        <v>0</v>
      </c>
      <c r="U115" s="1">
        <v>100</v>
      </c>
      <c r="V115" s="1">
        <v>2</v>
      </c>
      <c r="W115" s="1">
        <v>5600</v>
      </c>
      <c r="X115" s="1">
        <v>1225</v>
      </c>
      <c r="Y115" s="1">
        <v>73.5</v>
      </c>
      <c r="Z115" s="1">
        <v>0</v>
      </c>
      <c r="AA115" s="1">
        <v>489.99999999999994</v>
      </c>
      <c r="AB115" s="1">
        <v>0</v>
      </c>
      <c r="AC115" s="1">
        <v>36504</v>
      </c>
      <c r="AD115" s="1">
        <v>11.664000000000001</v>
      </c>
      <c r="AE115" s="1">
        <v>2</v>
      </c>
      <c r="AF115" s="1">
        <v>158.69999999999999</v>
      </c>
      <c r="AG115" s="1" t="s">
        <v>90</v>
      </c>
      <c r="AH115" s="1">
        <v>1</v>
      </c>
    </row>
    <row r="116" spans="1:34" x14ac:dyDescent="0.25">
      <c r="A116" t="s">
        <v>89</v>
      </c>
      <c r="B116">
        <v>401</v>
      </c>
      <c r="C116">
        <v>4</v>
      </c>
      <c r="D116" t="s">
        <v>29</v>
      </c>
      <c r="E116" t="s">
        <v>59</v>
      </c>
      <c r="F116" t="s">
        <v>65</v>
      </c>
      <c r="G116" t="s">
        <v>34</v>
      </c>
      <c r="H116" t="s">
        <v>30</v>
      </c>
      <c r="I116" t="s">
        <v>103</v>
      </c>
      <c r="J116" s="1">
        <v>88.179840000000013</v>
      </c>
      <c r="K116" s="10">
        <v>1.1576250000000001</v>
      </c>
      <c r="L116" s="1">
        <v>1</v>
      </c>
      <c r="M116" s="1">
        <v>0</v>
      </c>
      <c r="N116" s="1">
        <v>0</v>
      </c>
      <c r="O116" s="1">
        <v>2</v>
      </c>
      <c r="P116" s="1">
        <v>1</v>
      </c>
      <c r="Q116" s="1">
        <v>11</v>
      </c>
      <c r="R116" s="1">
        <v>250</v>
      </c>
      <c r="S116" s="1">
        <v>15</v>
      </c>
      <c r="T116" s="1">
        <v>0</v>
      </c>
      <c r="U116" s="1">
        <v>100</v>
      </c>
      <c r="V116" s="1">
        <v>2</v>
      </c>
      <c r="W116" s="1">
        <v>5600</v>
      </c>
      <c r="X116" s="1">
        <v>1715</v>
      </c>
      <c r="Y116" s="1">
        <v>102.89999999999999</v>
      </c>
      <c r="Z116" s="1">
        <v>0</v>
      </c>
      <c r="AA116" s="1">
        <v>685.99999999999989</v>
      </c>
      <c r="AB116" s="1">
        <v>0</v>
      </c>
      <c r="AC116" s="1">
        <v>47455.200000000004</v>
      </c>
      <c r="AD116" s="1">
        <v>12.597120000000002</v>
      </c>
      <c r="AE116" s="1">
        <v>2</v>
      </c>
      <c r="AF116" s="1">
        <v>182.50499999999997</v>
      </c>
      <c r="AG116" s="1" t="s">
        <v>90</v>
      </c>
      <c r="AH116" s="1">
        <v>1</v>
      </c>
    </row>
    <row r="117" spans="1:34" x14ac:dyDescent="0.25">
      <c r="A117" t="s">
        <v>89</v>
      </c>
      <c r="B117">
        <v>401</v>
      </c>
      <c r="C117">
        <v>5</v>
      </c>
      <c r="D117" t="s">
        <v>29</v>
      </c>
      <c r="E117" t="s">
        <v>59</v>
      </c>
      <c r="F117" t="s">
        <v>65</v>
      </c>
      <c r="G117" t="s">
        <v>34</v>
      </c>
      <c r="H117" t="s">
        <v>30</v>
      </c>
      <c r="I117" t="s">
        <v>103</v>
      </c>
      <c r="J117" s="1">
        <v>95.234227200000021</v>
      </c>
      <c r="K117" s="10">
        <v>1.2155062500000002</v>
      </c>
      <c r="L117" s="1">
        <v>1</v>
      </c>
      <c r="M117" s="1">
        <v>0</v>
      </c>
      <c r="N117" s="1">
        <v>0</v>
      </c>
      <c r="O117" s="1">
        <v>2</v>
      </c>
      <c r="P117" s="1">
        <v>1</v>
      </c>
      <c r="Q117" s="1">
        <v>12</v>
      </c>
      <c r="R117" s="1">
        <v>250</v>
      </c>
      <c r="S117" s="1">
        <v>15</v>
      </c>
      <c r="T117" s="1">
        <v>0</v>
      </c>
      <c r="U117" s="1">
        <v>100</v>
      </c>
      <c r="V117" s="1">
        <v>2</v>
      </c>
      <c r="W117" s="1">
        <v>5600</v>
      </c>
      <c r="X117" s="1">
        <v>2401</v>
      </c>
      <c r="Y117" s="1">
        <v>144.05999999999997</v>
      </c>
      <c r="Z117" s="1">
        <v>0</v>
      </c>
      <c r="AA117" s="1">
        <v>960.39999999999975</v>
      </c>
      <c r="AB117" s="1">
        <v>0</v>
      </c>
      <c r="AC117" s="1">
        <v>61691.760000000009</v>
      </c>
      <c r="AD117" s="1">
        <v>13.604889600000003</v>
      </c>
      <c r="AE117" s="1">
        <v>2</v>
      </c>
      <c r="AF117" s="1">
        <v>209.88074999999995</v>
      </c>
      <c r="AG117" s="1" t="s">
        <v>90</v>
      </c>
      <c r="AH117" s="1">
        <v>1</v>
      </c>
    </row>
    <row r="118" spans="1:34" x14ac:dyDescent="0.25">
      <c r="A118" t="s">
        <v>89</v>
      </c>
      <c r="B118">
        <v>401</v>
      </c>
      <c r="C118">
        <v>6</v>
      </c>
      <c r="D118" t="s">
        <v>29</v>
      </c>
      <c r="E118" t="s">
        <v>59</v>
      </c>
      <c r="F118" t="s">
        <v>65</v>
      </c>
      <c r="G118" t="s">
        <v>34</v>
      </c>
      <c r="H118" t="s">
        <v>30</v>
      </c>
      <c r="I118" t="s">
        <v>103</v>
      </c>
      <c r="J118" s="1">
        <v>102.85296537600003</v>
      </c>
      <c r="K118" s="10">
        <v>1.2762815625000004</v>
      </c>
      <c r="L118" s="1">
        <v>1</v>
      </c>
      <c r="M118" s="1">
        <v>0</v>
      </c>
      <c r="N118" s="1">
        <v>0</v>
      </c>
      <c r="O118" s="1">
        <v>2</v>
      </c>
      <c r="P118" s="1">
        <v>1</v>
      </c>
      <c r="Q118" s="1">
        <v>12</v>
      </c>
      <c r="R118" s="1">
        <v>250</v>
      </c>
      <c r="S118" s="1">
        <v>15</v>
      </c>
      <c r="T118" s="1">
        <v>0</v>
      </c>
      <c r="U118" s="1">
        <v>100</v>
      </c>
      <c r="V118" s="1">
        <v>2</v>
      </c>
      <c r="W118" s="1">
        <v>5600</v>
      </c>
      <c r="X118" s="1">
        <v>3361.3999999999996</v>
      </c>
      <c r="Y118" s="1">
        <v>201.68399999999994</v>
      </c>
      <c r="Z118" s="1">
        <v>0</v>
      </c>
      <c r="AA118" s="1">
        <v>1344.5599999999995</v>
      </c>
      <c r="AB118" s="1">
        <v>0</v>
      </c>
      <c r="AC118" s="1">
        <v>80199.288000000015</v>
      </c>
      <c r="AD118" s="1">
        <v>14.693280768000005</v>
      </c>
      <c r="AE118" s="1">
        <v>2</v>
      </c>
      <c r="AF118" s="1">
        <v>241.36286249999992</v>
      </c>
      <c r="AG118" s="1" t="s">
        <v>90</v>
      </c>
      <c r="AH118" s="1">
        <v>1</v>
      </c>
    </row>
    <row r="119" spans="1:34" x14ac:dyDescent="0.25">
      <c r="A119" t="s">
        <v>89</v>
      </c>
      <c r="B119">
        <v>401</v>
      </c>
      <c r="C119">
        <v>7</v>
      </c>
      <c r="D119" t="s">
        <v>29</v>
      </c>
      <c r="E119" t="s">
        <v>59</v>
      </c>
      <c r="F119" t="s">
        <v>65</v>
      </c>
      <c r="G119" t="s">
        <v>34</v>
      </c>
      <c r="H119" t="s">
        <v>30</v>
      </c>
      <c r="I119" t="s">
        <v>103</v>
      </c>
      <c r="J119" s="1">
        <v>111.08120260608004</v>
      </c>
      <c r="K119" s="10">
        <v>1.3400956406250004</v>
      </c>
      <c r="L119" s="1">
        <v>1</v>
      </c>
      <c r="M119" s="1">
        <v>0</v>
      </c>
      <c r="N119" s="1">
        <v>0</v>
      </c>
      <c r="O119" s="1">
        <v>2</v>
      </c>
      <c r="P119" s="1">
        <v>1</v>
      </c>
      <c r="Q119" s="1">
        <v>13</v>
      </c>
      <c r="R119" s="1">
        <v>250</v>
      </c>
      <c r="S119" s="1">
        <v>15</v>
      </c>
      <c r="T119" s="1">
        <v>0</v>
      </c>
      <c r="U119" s="1">
        <v>100</v>
      </c>
      <c r="V119" s="1">
        <v>2</v>
      </c>
      <c r="W119" s="1">
        <v>5600</v>
      </c>
      <c r="X119" s="1">
        <v>4705.9599999999991</v>
      </c>
      <c r="Y119" s="1">
        <v>282.35759999999988</v>
      </c>
      <c r="Z119" s="1">
        <v>0</v>
      </c>
      <c r="AA119" s="1">
        <v>1882.3839999999991</v>
      </c>
      <c r="AB119" s="1">
        <v>0</v>
      </c>
      <c r="AC119" s="1">
        <v>104259.07440000003</v>
      </c>
      <c r="AD119" s="1">
        <v>15.868743229440007</v>
      </c>
      <c r="AE119" s="1">
        <v>2</v>
      </c>
      <c r="AF119" s="1">
        <v>277.56729187499991</v>
      </c>
      <c r="AG119" s="1" t="s">
        <v>90</v>
      </c>
      <c r="AH119" s="1">
        <v>1</v>
      </c>
    </row>
    <row r="120" spans="1:34" x14ac:dyDescent="0.25">
      <c r="A120" t="s">
        <v>89</v>
      </c>
      <c r="B120">
        <v>401</v>
      </c>
      <c r="C120">
        <v>8</v>
      </c>
      <c r="D120" t="s">
        <v>29</v>
      </c>
      <c r="E120" t="s">
        <v>59</v>
      </c>
      <c r="F120" t="s">
        <v>65</v>
      </c>
      <c r="G120" t="s">
        <v>34</v>
      </c>
      <c r="H120" t="s">
        <v>30</v>
      </c>
      <c r="I120" t="s">
        <v>103</v>
      </c>
      <c r="J120" s="1">
        <v>119.96769881456645</v>
      </c>
      <c r="K120" s="10">
        <v>1.4071004226562505</v>
      </c>
      <c r="L120" s="1">
        <v>1</v>
      </c>
      <c r="M120" s="1">
        <v>0</v>
      </c>
      <c r="N120" s="1">
        <v>0</v>
      </c>
      <c r="O120" s="1">
        <v>2</v>
      </c>
      <c r="P120" s="1">
        <v>1</v>
      </c>
      <c r="Q120" s="1">
        <v>13</v>
      </c>
      <c r="R120" s="1">
        <v>250</v>
      </c>
      <c r="S120" s="1">
        <v>15</v>
      </c>
      <c r="T120" s="1">
        <v>0</v>
      </c>
      <c r="U120" s="1">
        <v>100</v>
      </c>
      <c r="V120" s="1">
        <v>2</v>
      </c>
      <c r="W120" s="1">
        <v>5600</v>
      </c>
      <c r="X120" s="1">
        <v>6588.3439999999982</v>
      </c>
      <c r="Y120" s="1">
        <v>395.30063999999982</v>
      </c>
      <c r="Z120" s="1">
        <v>0</v>
      </c>
      <c r="AA120" s="1">
        <v>2635.3375999999985</v>
      </c>
      <c r="AB120" s="1">
        <v>0</v>
      </c>
      <c r="AC120" s="1">
        <v>135536.79672000004</v>
      </c>
      <c r="AD120" s="1">
        <v>17.138242687795209</v>
      </c>
      <c r="AE120" s="1">
        <v>2</v>
      </c>
      <c r="AF120" s="1">
        <v>319.20238565624987</v>
      </c>
      <c r="AG120" s="1" t="s">
        <v>90</v>
      </c>
      <c r="AH120" s="1">
        <v>1</v>
      </c>
    </row>
    <row r="121" spans="1:34" x14ac:dyDescent="0.25">
      <c r="A121" t="s">
        <v>89</v>
      </c>
      <c r="B121">
        <v>401</v>
      </c>
      <c r="C121">
        <v>9</v>
      </c>
      <c r="D121" t="s">
        <v>29</v>
      </c>
      <c r="E121" t="s">
        <v>59</v>
      </c>
      <c r="F121" t="s">
        <v>65</v>
      </c>
      <c r="G121" t="s">
        <v>34</v>
      </c>
      <c r="H121" t="s">
        <v>30</v>
      </c>
      <c r="I121" t="s">
        <v>103</v>
      </c>
      <c r="J121" s="1">
        <v>129.56511471973178</v>
      </c>
      <c r="K121" s="10">
        <v>1.477455443789063</v>
      </c>
      <c r="L121" s="1">
        <v>1</v>
      </c>
      <c r="M121" s="1">
        <v>0</v>
      </c>
      <c r="N121" s="1">
        <v>0</v>
      </c>
      <c r="O121" s="1">
        <v>2</v>
      </c>
      <c r="P121" s="1">
        <v>1</v>
      </c>
      <c r="Q121" s="1">
        <v>14</v>
      </c>
      <c r="R121" s="1">
        <v>250</v>
      </c>
      <c r="S121" s="1">
        <v>15</v>
      </c>
      <c r="T121" s="1">
        <v>0</v>
      </c>
      <c r="U121" s="1">
        <v>100</v>
      </c>
      <c r="V121" s="1">
        <v>2</v>
      </c>
      <c r="W121" s="1">
        <v>5600</v>
      </c>
      <c r="X121" s="1">
        <v>9223.6815999999963</v>
      </c>
      <c r="Y121" s="1">
        <v>553.42089599999974</v>
      </c>
      <c r="Z121" s="1">
        <v>0</v>
      </c>
      <c r="AA121" s="1">
        <v>3689.4726399999977</v>
      </c>
      <c r="AB121" s="1">
        <v>0</v>
      </c>
      <c r="AC121" s="1">
        <v>176197.83573600007</v>
      </c>
      <c r="AD121" s="1">
        <v>18.509302102818829</v>
      </c>
      <c r="AE121" s="1">
        <v>2</v>
      </c>
      <c r="AF121" s="1">
        <v>367.0827435046873</v>
      </c>
      <c r="AG121" s="1" t="s">
        <v>90</v>
      </c>
      <c r="AH121" s="1">
        <v>1</v>
      </c>
    </row>
    <row r="122" spans="1:34" x14ac:dyDescent="0.25">
      <c r="A122" t="s">
        <v>89</v>
      </c>
      <c r="B122">
        <v>401</v>
      </c>
      <c r="C122">
        <v>10</v>
      </c>
      <c r="D122" t="s">
        <v>29</v>
      </c>
      <c r="E122" t="s">
        <v>59</v>
      </c>
      <c r="F122" t="s">
        <v>65</v>
      </c>
      <c r="G122" t="s">
        <v>34</v>
      </c>
      <c r="H122" t="s">
        <v>30</v>
      </c>
      <c r="I122" t="s">
        <v>103</v>
      </c>
      <c r="J122" s="1">
        <v>139.93032389731033</v>
      </c>
      <c r="K122" s="10">
        <v>1.5513282159785162</v>
      </c>
      <c r="L122" s="1">
        <v>1</v>
      </c>
      <c r="M122" s="1">
        <v>0</v>
      </c>
      <c r="N122" s="1">
        <v>0</v>
      </c>
      <c r="O122" s="1">
        <v>2</v>
      </c>
      <c r="P122" s="1">
        <v>1</v>
      </c>
      <c r="Q122" s="1">
        <v>15</v>
      </c>
      <c r="R122" s="1">
        <v>250</v>
      </c>
      <c r="S122" s="1">
        <v>15</v>
      </c>
      <c r="T122" s="1">
        <v>0</v>
      </c>
      <c r="U122" s="1">
        <v>100</v>
      </c>
      <c r="V122" s="1">
        <v>2</v>
      </c>
      <c r="W122" s="1">
        <v>5600</v>
      </c>
      <c r="X122" s="1">
        <v>12913.154239999994</v>
      </c>
      <c r="Y122" s="1">
        <v>774.78925439999955</v>
      </c>
      <c r="Z122" s="1">
        <v>0</v>
      </c>
      <c r="AA122" s="1">
        <v>5165.2616959999968</v>
      </c>
      <c r="AB122" s="1">
        <v>0</v>
      </c>
      <c r="AC122" s="1">
        <v>229057.18645680009</v>
      </c>
      <c r="AD122" s="1">
        <v>19.990046271044335</v>
      </c>
      <c r="AE122" s="1">
        <v>2</v>
      </c>
      <c r="AF122" s="1">
        <v>422.14515503039036</v>
      </c>
      <c r="AG122" s="1" t="s">
        <v>90</v>
      </c>
      <c r="AH122" s="1"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2014-08-03T20:59:33Z</dcterms:modified>
</cp:coreProperties>
</file>